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de Ventas" sheetId="1" state="visible" r:id="rId3"/>
    <sheet name="🧩 Ejercicio" sheetId="2" state="visible" r:id="rId4"/>
    <sheet name="✅ Respues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<sst xmlns="http://schemas.openxmlformats.org/spreadsheetml/2006/main" count="114" uniqueCount="76">
  <si>
    <t xml:space="preserve">📊 REGISTRO DE VENTAS — TIENDA EL MERCADITO</t>
  </si>
  <si>
    <t xml:space="preserve">ID Venta</t>
  </si>
  <si>
    <t xml:space="preserve">Vendedor</t>
  </si>
  <si>
    <t xml:space="preserve">Categoría</t>
  </si>
  <si>
    <t xml:space="preserve">Producto</t>
  </si>
  <si>
    <t xml:space="preserve">Cantidad</t>
  </si>
  <si>
    <t xml:space="preserve">Precio Unitario (L.)</t>
  </si>
  <si>
    <t xml:space="preserve">Carlos</t>
  </si>
  <si>
    <t xml:space="preserve">Electrónica</t>
  </si>
  <si>
    <t xml:space="preserve">Audífonos</t>
  </si>
  <si>
    <t xml:space="preserve">María</t>
  </si>
  <si>
    <t xml:space="preserve">Ropa</t>
  </si>
  <si>
    <t xml:space="preserve">Camisa</t>
  </si>
  <si>
    <t xml:space="preserve">Cable USB</t>
  </si>
  <si>
    <t xml:space="preserve">Ana</t>
  </si>
  <si>
    <t xml:space="preserve">Alimentos</t>
  </si>
  <si>
    <t xml:space="preserve">Caja de cereal</t>
  </si>
  <si>
    <t xml:space="preserve">Funda celular</t>
  </si>
  <si>
    <t xml:space="preserve">Luis</t>
  </si>
  <si>
    <t xml:space="preserve">Aceite 1L</t>
  </si>
  <si>
    <t xml:space="preserve">Pantalón</t>
  </si>
  <si>
    <t xml:space="preserve">Cargador</t>
  </si>
  <si>
    <t xml:space="preserve">Zapatos</t>
  </si>
  <si>
    <t xml:space="preserve">Arroz 5lb</t>
  </si>
  <si>
    <t xml:space="preserve">Vestido</t>
  </si>
  <si>
    <t xml:space="preserve">Frijoles 1lb</t>
  </si>
  <si>
    <t xml:space="preserve">Bocina bluetooth</t>
  </si>
  <si>
    <t xml:space="preserve">Cinto</t>
  </si>
  <si>
    <t xml:space="preserve">Leche 1L</t>
  </si>
  <si>
    <t xml:space="preserve">📝 EJERCICIO: SUMA CONDICIONAL CON SUMAR.SI Y SUMAR.SI.CONJUNTO</t>
  </si>
  <si>
    <t xml:space="preserve">INSTRUCCIONES:</t>
  </si>
  <si>
    <t xml:space="preserve">1. Los datos de ventas están en la hoja 'Datos de Ventas' (columnas A–F, filas 3 a 17).</t>
  </si>
  <si>
    <t xml:space="preserve">2. En las celdas amarillas 🟡 escribe la fórmula correcta usando SUMAR.SI o SUMAR.SI.CONJUNTO.</t>
  </si>
  <si>
    <t xml:space="preserve">3. Para calcular el total de ventas multiplica Cantidad (col E) × Precio Unitario (col F).</t>
  </si>
  <si>
    <t xml:space="preserve">4. Tip: SUMAR.SI(rango_criterio, criterio, rango_suma)  |  SUMAR.SI.CONJUNTO(rango_suma, rango1, crit1, rango2, crit2...)</t>
  </si>
  <si>
    <t xml:space="preserve">SECCIÓN A — SUMAR.SI (un solo criterio)</t>
  </si>
  <si>
    <t xml:space="preserve">#</t>
  </si>
  <si>
    <t xml:space="preserve">Pregunta</t>
  </si>
  <si>
    <t xml:space="preserve">Tu Fórmula / Respuesta</t>
  </si>
  <si>
    <t xml:space="preserve">Resultado</t>
  </si>
  <si>
    <t xml:space="preserve">1</t>
  </si>
  <si>
    <t xml:space="preserve">¿Cuántas unidades en total vendió Carlos?</t>
  </si>
  <si>
    <t xml:space="preserve">2</t>
  </si>
  <si>
    <t xml:space="preserve">¿Cuántas unidades corresponden a la categoría Electrónica?</t>
  </si>
  <si>
    <t xml:space="preserve">3</t>
  </si>
  <si>
    <t xml:space="preserve">¿Cuántas unidades se vendieron en la categoría Alimentos?</t>
  </si>
  <si>
    <t xml:space="preserve">4</t>
  </si>
  <si>
    <t xml:space="preserve">¿Cuántas unidades vendió María en total?</t>
  </si>
  <si>
    <t xml:space="preserve">SECCIÓN B — SUMAR.SI.CONJUNTO (dos o más criterios)</t>
  </si>
  <si>
    <t xml:space="preserve">5</t>
  </si>
  <si>
    <t xml:space="preserve">¿Cuántas unidades de Electrónica vendió María?</t>
  </si>
  <si>
    <t xml:space="preserve">6</t>
  </si>
  <si>
    <t xml:space="preserve">¿Cuántas unidades de Ropa vendió Carlos?</t>
  </si>
  <si>
    <t xml:space="preserve">7</t>
  </si>
  <si>
    <t xml:space="preserve">¿Cuántas unidades de Alimentos vendió Ana?</t>
  </si>
  <si>
    <t xml:space="preserve">8</t>
  </si>
  <si>
    <t xml:space="preserve">¿Cuántas unidades de Electrónica vendió Luis?</t>
  </si>
  <si>
    <t xml:space="preserve">✅ HOJA DE RESPUESTAS — FÓRMULAS CORRECTAS</t>
  </si>
  <si>
    <t xml:space="preserve">⚠️ Intenta resolver el ejercicio antes de ver esta hoja.</t>
  </si>
  <si>
    <t xml:space="preserve">Fórmula Correcta</t>
  </si>
  <si>
    <t xml:space="preserve">Unidades vendidas por Carlos</t>
  </si>
  <si>
    <t xml:space="preserve">SUMAR.SI(B3:B17, "Carlos", E3:E17)</t>
  </si>
  <si>
    <t xml:space="preserve">Unidades de Electrónica</t>
  </si>
  <si>
    <t xml:space="preserve">SUMAR.SI(C3:C17, "Electrónica", E3:E17)</t>
  </si>
  <si>
    <t xml:space="preserve">Unidades de Alimentos</t>
  </si>
  <si>
    <t xml:space="preserve">SUMAR.SI(C3:C17, "Alimentos", E3:E17)</t>
  </si>
  <si>
    <t xml:space="preserve">Unidades vendidas por María</t>
  </si>
  <si>
    <t xml:space="preserve">SUMAR.SI(B3:B17, "María", E3:E17)</t>
  </si>
  <si>
    <t xml:space="preserve">Electrónica vendida por María</t>
  </si>
  <si>
    <t xml:space="preserve">SUMAR.SI.CONJUNTO(E3:E17, C3:C17, "Electrónica", B3:B17, "María")</t>
  </si>
  <si>
    <t xml:space="preserve">Ropa vendida por Carlos</t>
  </si>
  <si>
    <t xml:space="preserve">SUMAR.SI.CONJUNTO(E3:E17, C3:C17, "Ropa", B3:B17, "Carlos")</t>
  </si>
  <si>
    <t xml:space="preserve">Alimentos vendidos por Ana</t>
  </si>
  <si>
    <t xml:space="preserve">SUMAR.SI.CONJUNTO(E3:E17, C3:C17, "Alimentos", B3:B17, "Ana")</t>
  </si>
  <si>
    <t xml:space="preserve">Electrónica vendida por Luis</t>
  </si>
  <si>
    <t xml:space="preserve">SUMAR.SI.CONJUNTO(E3:E17, C3:C17, "Electrónica", B3:B17, "Luis")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</si>
</sst>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1F5C9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75B6"/>
        <bgColor rgb="FF1F5C99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EBF3FB"/>
        <bgColor rgb="FFF2F2F2"/>
      </patternFill>
    </fill>
    <fill>
      <patternFill patternType="solid">
        <fgColor rgb="FF1F5C99"/>
        <bgColor rgb="FF2E75B6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FFE6E6"/>
      </patternFill>
    </fill>
    <fill>
      <patternFill patternType="solid">
        <fgColor rgb="FFF2F2F2"/>
        <bgColor rgb="FFEBF3FB"/>
      </patternFill>
    </fill>
    <fill>
      <patternFill patternType="solid">
        <fgColor rgb="FF375623"/>
        <bgColor rgb="FF333300"/>
      </patternFill>
    </fill>
    <fill>
      <patternFill patternType="solid">
        <fgColor rgb="FFC6EFCE"/>
        <bgColor rgb="FFE2EFDA"/>
      </patternFill>
    </fill>
    <fill>
      <patternFill patternType="solid">
        <fgColor rgb="FFFFE6E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1F5C9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D6E4F0"/>
      <rgbColor rgb="FFF7FBFF"/>
      <rgbColor rgb="FFCC99FF"/>
      <rgbColor rgb="FFFFE6E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n">
        <v>1</v>
      </c>
      <c r="B3" s="5" t="s">
        <v>7</v>
      </c>
      <c r="C3" s="5" t="s">
        <v>8</v>
      </c>
      <c r="D3" s="5" t="s">
        <v>9</v>
      </c>
      <c r="E3" s="4" t="n">
        <v>3</v>
      </c>
      <c r="F3" s="6" t="n">
        <v>450</v>
      </c>
    </row>
    <row r="4" customFormat="false" ht="15" hidden="false" customHeight="true" outlineLevel="0" collapsed="false">
      <c r="A4" s="7" t="n">
        <v>2</v>
      </c>
      <c r="B4" s="8" t="s">
        <v>10</v>
      </c>
      <c r="C4" s="8" t="s">
        <v>11</v>
      </c>
      <c r="D4" s="8" t="s">
        <v>12</v>
      </c>
      <c r="E4" s="7" t="n">
        <v>5</v>
      </c>
      <c r="F4" s="9" t="n">
        <v>280</v>
      </c>
    </row>
    <row r="5" customFormat="false" ht="15" hidden="false" customHeight="true" outlineLevel="0" collapsed="false">
      <c r="A5" s="4" t="n">
        <v>3</v>
      </c>
      <c r="B5" s="5" t="s">
        <v>7</v>
      </c>
      <c r="C5" s="5" t="s">
        <v>8</v>
      </c>
      <c r="D5" s="5" t="s">
        <v>13</v>
      </c>
      <c r="E5" s="4" t="n">
        <v>10</v>
      </c>
      <c r="F5" s="6" t="n">
        <v>85</v>
      </c>
    </row>
    <row r="6" customFormat="false" ht="15" hidden="false" customHeight="true" outlineLevel="0" collapsed="false">
      <c r="A6" s="7" t="n">
        <v>4</v>
      </c>
      <c r="B6" s="8" t="s">
        <v>14</v>
      </c>
      <c r="C6" s="8" t="s">
        <v>15</v>
      </c>
      <c r="D6" s="8" t="s">
        <v>16</v>
      </c>
      <c r="E6" s="7" t="n">
        <v>8</v>
      </c>
      <c r="F6" s="9" t="n">
        <v>120</v>
      </c>
    </row>
    <row r="7" customFormat="false" ht="15" hidden="false" customHeight="true" outlineLevel="0" collapsed="false">
      <c r="A7" s="4" t="n">
        <v>5</v>
      </c>
      <c r="B7" s="5" t="s">
        <v>10</v>
      </c>
      <c r="C7" s="5" t="s">
        <v>8</v>
      </c>
      <c r="D7" s="5" t="s">
        <v>17</v>
      </c>
      <c r="E7" s="4" t="n">
        <v>6</v>
      </c>
      <c r="F7" s="6" t="n">
        <v>150</v>
      </c>
    </row>
    <row r="8" customFormat="false" ht="15" hidden="false" customHeight="true" outlineLevel="0" collapsed="false">
      <c r="A8" s="7" t="n">
        <v>6</v>
      </c>
      <c r="B8" s="8" t="s">
        <v>18</v>
      </c>
      <c r="C8" s="8" t="s">
        <v>15</v>
      </c>
      <c r="D8" s="8" t="s">
        <v>19</v>
      </c>
      <c r="E8" s="7" t="n">
        <v>12</v>
      </c>
      <c r="F8" s="9" t="n">
        <v>90</v>
      </c>
    </row>
    <row r="9" customFormat="false" ht="15" hidden="false" customHeight="true" outlineLevel="0" collapsed="false">
      <c r="A9" s="4" t="n">
        <v>7</v>
      </c>
      <c r="B9" s="5" t="s">
        <v>7</v>
      </c>
      <c r="C9" s="5" t="s">
        <v>11</v>
      </c>
      <c r="D9" s="5" t="s">
        <v>20</v>
      </c>
      <c r="E9" s="4" t="n">
        <v>2</v>
      </c>
      <c r="F9" s="6" t="n">
        <v>550</v>
      </c>
    </row>
    <row r="10" customFormat="false" ht="15" hidden="false" customHeight="true" outlineLevel="0" collapsed="false">
      <c r="A10" s="7" t="n">
        <v>8</v>
      </c>
      <c r="B10" s="8" t="s">
        <v>14</v>
      </c>
      <c r="C10" s="8" t="s">
        <v>8</v>
      </c>
      <c r="D10" s="8" t="s">
        <v>21</v>
      </c>
      <c r="E10" s="7" t="n">
        <v>4</v>
      </c>
      <c r="F10" s="9" t="n">
        <v>320</v>
      </c>
    </row>
    <row r="11" customFormat="false" ht="15" hidden="false" customHeight="true" outlineLevel="0" collapsed="false">
      <c r="A11" s="4" t="n">
        <v>9</v>
      </c>
      <c r="B11" s="5" t="s">
        <v>18</v>
      </c>
      <c r="C11" s="5" t="s">
        <v>11</v>
      </c>
      <c r="D11" s="5" t="s">
        <v>22</v>
      </c>
      <c r="E11" s="4" t="n">
        <v>1</v>
      </c>
      <c r="F11" s="6" t="n">
        <v>980</v>
      </c>
    </row>
    <row r="12" customFormat="false" ht="15" hidden="false" customHeight="true" outlineLevel="0" collapsed="false">
      <c r="A12" s="7" t="n">
        <v>10</v>
      </c>
      <c r="B12" s="8" t="s">
        <v>10</v>
      </c>
      <c r="C12" s="8" t="s">
        <v>15</v>
      </c>
      <c r="D12" s="8" t="s">
        <v>23</v>
      </c>
      <c r="E12" s="7" t="n">
        <v>15</v>
      </c>
      <c r="F12" s="9" t="n">
        <v>75</v>
      </c>
    </row>
    <row r="13" customFormat="false" ht="15" hidden="false" customHeight="true" outlineLevel="0" collapsed="false">
      <c r="A13" s="4" t="n">
        <v>11</v>
      </c>
      <c r="B13" s="5" t="s">
        <v>14</v>
      </c>
      <c r="C13" s="5" t="s">
        <v>11</v>
      </c>
      <c r="D13" s="5" t="s">
        <v>24</v>
      </c>
      <c r="E13" s="4" t="n">
        <v>3</v>
      </c>
      <c r="F13" s="6" t="n">
        <v>620</v>
      </c>
    </row>
    <row r="14" customFormat="false" ht="15" hidden="false" customHeight="true" outlineLevel="0" collapsed="false">
      <c r="A14" s="7" t="n">
        <v>12</v>
      </c>
      <c r="B14" s="8" t="s">
        <v>7</v>
      </c>
      <c r="C14" s="8" t="s">
        <v>15</v>
      </c>
      <c r="D14" s="8" t="s">
        <v>25</v>
      </c>
      <c r="E14" s="7" t="n">
        <v>20</v>
      </c>
      <c r="F14" s="9" t="n">
        <v>35</v>
      </c>
    </row>
    <row r="15" customFormat="false" ht="15" hidden="false" customHeight="true" outlineLevel="0" collapsed="false">
      <c r="A15" s="4" t="n">
        <v>13</v>
      </c>
      <c r="B15" s="5" t="s">
        <v>18</v>
      </c>
      <c r="C15" s="5" t="s">
        <v>8</v>
      </c>
      <c r="D15" s="5" t="s">
        <v>26</v>
      </c>
      <c r="E15" s="4" t="n">
        <v>2</v>
      </c>
      <c r="F15" s="6" t="n">
        <v>890</v>
      </c>
    </row>
    <row r="16" customFormat="false" ht="15" hidden="false" customHeight="true" outlineLevel="0" collapsed="false">
      <c r="A16" s="7" t="n">
        <v>14</v>
      </c>
      <c r="B16" s="8" t="s">
        <v>10</v>
      </c>
      <c r="C16" s="8" t="s">
        <v>11</v>
      </c>
      <c r="D16" s="8" t="s">
        <v>27</v>
      </c>
      <c r="E16" s="7" t="n">
        <v>7</v>
      </c>
      <c r="F16" s="9" t="n">
        <v>180</v>
      </c>
    </row>
    <row r="17" customFormat="false" ht="15" hidden="false" customHeight="true" outlineLevel="0" collapsed="false">
      <c r="A17" s="4" t="n">
        <v>15</v>
      </c>
      <c r="B17" s="5" t="s">
        <v>14</v>
      </c>
      <c r="C17" s="5" t="s">
        <v>15</v>
      </c>
      <c r="D17" s="5" t="s">
        <v>28</v>
      </c>
      <c r="E17" s="4" t="n">
        <v>25</v>
      </c>
      <c r="F17" s="6" t="n"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3" min="3" style="1" width="5"/>
    <col collapsed="false" customWidth="true" hidden="false" outlineLevel="0" max="4" min="4" style="1" width="35"/>
    <col collapsed="false" customWidth="true" hidden="false" outlineLevel="0" max="5" min="5" style="1" width="5"/>
    <col collapsed="false" customWidth="true" hidden="false" outlineLevel="0" max="6" min="6" style="1" width="15"/>
    <col collapsed="false" customWidth="true" hidden="false" outlineLevel="0" max="7" min="7" style="1" width="5"/>
  </cols>
  <sheetData>
    <row r="1" customFormat="false" ht="27.75" hidden="false" customHeight="true" outlineLevel="0" collapsed="false">
      <c r="A1" s="10" t="s">
        <v>29</v>
      </c>
      <c r="B1" s="10"/>
      <c r="C1" s="10"/>
      <c r="D1" s="10"/>
      <c r="E1" s="10"/>
      <c r="F1" s="10"/>
      <c r="G1" s="10"/>
    </row>
    <row r="2" customFormat="false" ht="18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</row>
    <row r="3" customFormat="false" ht="18" hidden="false" customHeight="true" outlineLevel="0" collapsed="false">
      <c r="A3" s="12" t="s">
        <v>31</v>
      </c>
      <c r="B3" s="12"/>
      <c r="C3" s="12"/>
      <c r="D3" s="12"/>
      <c r="E3" s="12"/>
      <c r="F3" s="12"/>
      <c r="G3" s="12"/>
    </row>
    <row r="4" customFormat="false" ht="18" hidden="false" customHeight="true" outlineLevel="0" collapsed="false">
      <c r="A4" s="12" t="s">
        <v>32</v>
      </c>
      <c r="B4" s="12"/>
      <c r="C4" s="12"/>
      <c r="D4" s="12"/>
      <c r="E4" s="12"/>
      <c r="F4" s="12"/>
      <c r="G4" s="12"/>
    </row>
    <row r="5" customFormat="false" ht="18" hidden="false" customHeight="true" outlineLevel="0" collapsed="false">
      <c r="A5" s="12" t="s">
        <v>33</v>
      </c>
      <c r="B5" s="12"/>
      <c r="C5" s="12"/>
      <c r="D5" s="12"/>
      <c r="E5" s="12"/>
      <c r="F5" s="12"/>
      <c r="G5" s="12"/>
    </row>
    <row r="6" customFormat="false" ht="18" hidden="false" customHeight="true" outlineLevel="0" collapsed="false">
      <c r="A6" s="12" t="s">
        <v>34</v>
      </c>
      <c r="B6" s="12"/>
      <c r="C6" s="12"/>
      <c r="D6" s="12"/>
      <c r="E6" s="12"/>
      <c r="F6" s="12"/>
      <c r="G6" s="12"/>
    </row>
    <row r="8" customFormat="false" ht="21.75" hidden="false" customHeight="true" outlineLevel="0" collapsed="false">
      <c r="A8" s="13" t="s">
        <v>35</v>
      </c>
      <c r="B8" s="13"/>
      <c r="C8" s="13"/>
      <c r="D8" s="13"/>
      <c r="E8" s="13"/>
      <c r="F8" s="13"/>
      <c r="G8" s="13"/>
    </row>
    <row r="9" customFormat="false" ht="15" hidden="false" customHeight="true" outlineLevel="0" collapsed="false">
      <c r="A9" s="14" t="s">
        <v>36</v>
      </c>
      <c r="B9" s="14" t="s">
        <v>37</v>
      </c>
      <c r="C9" s="14"/>
      <c r="D9" s="14" t="s">
        <v>38</v>
      </c>
      <c r="E9" s="14"/>
      <c r="F9" s="14" t="s">
        <v>39</v>
      </c>
      <c r="G9" s="14"/>
    </row>
    <row r="10" customFormat="false" ht="36" hidden="false" customHeight="true" outlineLevel="0" collapsed="false">
      <c r="A10" s="15" t="s">
        <v>40</v>
      </c>
      <c r="B10" s="16" t="s">
        <v>41</v>
      </c>
      <c r="C10" s="16"/>
      <c r="D10" s="17"/>
      <c r="E10" s="17"/>
      <c r="F10" s="18"/>
      <c r="G10" s="18"/>
    </row>
    <row r="11" customFormat="false" ht="36" hidden="false" customHeight="true" outlineLevel="0" collapsed="false">
      <c r="A11" s="15" t="s">
        <v>42</v>
      </c>
      <c r="B11" s="16" t="s">
        <v>43</v>
      </c>
      <c r="C11" s="16"/>
      <c r="D11" s="17"/>
      <c r="E11" s="17"/>
      <c r="F11" s="18"/>
      <c r="G11" s="18"/>
    </row>
    <row r="12" customFormat="false" ht="36" hidden="false" customHeight="true" outlineLevel="0" collapsed="false">
      <c r="A12" s="15" t="s">
        <v>44</v>
      </c>
      <c r="B12" s="16" t="s">
        <v>45</v>
      </c>
      <c r="C12" s="16"/>
      <c r="D12" s="17"/>
      <c r="E12" s="17"/>
      <c r="F12" s="18"/>
      <c r="G12" s="18"/>
    </row>
    <row r="13" customFormat="false" ht="36" hidden="false" customHeight="true" outlineLevel="0" collapsed="false">
      <c r="A13" s="15" t="s">
        <v>46</v>
      </c>
      <c r="B13" s="16" t="s">
        <v>47</v>
      </c>
      <c r="C13" s="16"/>
      <c r="D13" s="17"/>
      <c r="E13" s="17"/>
      <c r="F13" s="18"/>
      <c r="G13" s="18"/>
    </row>
    <row r="15" customFormat="false" ht="21.75" hidden="false" customHeight="true" outlineLevel="0" collapsed="false">
      <c r="A15" s="19" t="s">
        <v>48</v>
      </c>
      <c r="B15" s="19"/>
      <c r="C15" s="19"/>
      <c r="D15" s="19"/>
      <c r="E15" s="19"/>
      <c r="F15" s="19"/>
      <c r="G15" s="19"/>
    </row>
    <row r="16" customFormat="false" ht="15" hidden="false" customHeight="true" outlineLevel="0" collapsed="false">
      <c r="A16" s="20" t="s">
        <v>36</v>
      </c>
      <c r="B16" s="20" t="s">
        <v>37</v>
      </c>
      <c r="C16" s="20"/>
      <c r="D16" s="20" t="s">
        <v>38</v>
      </c>
      <c r="E16" s="20"/>
      <c r="F16" s="20" t="s">
        <v>39</v>
      </c>
      <c r="G16" s="20"/>
    </row>
    <row r="17" customFormat="false" ht="36" hidden="false" customHeight="true" outlineLevel="0" collapsed="false">
      <c r="A17" s="21" t="s">
        <v>49</v>
      </c>
      <c r="B17" s="16" t="s">
        <v>50</v>
      </c>
      <c r="C17" s="16"/>
      <c r="D17" s="17"/>
      <c r="E17" s="17"/>
      <c r="F17" s="18"/>
      <c r="G17" s="18"/>
    </row>
    <row r="18" customFormat="false" ht="36" hidden="false" customHeight="true" outlineLevel="0" collapsed="false">
      <c r="A18" s="21" t="s">
        <v>51</v>
      </c>
      <c r="B18" s="16" t="s">
        <v>52</v>
      </c>
      <c r="C18" s="16"/>
      <c r="D18" s="17"/>
      <c r="E18" s="17"/>
      <c r="F18" s="18"/>
      <c r="G18" s="18"/>
    </row>
    <row r="19" customFormat="false" ht="36" hidden="false" customHeight="true" outlineLevel="0" collapsed="false">
      <c r="A19" s="21" t="s">
        <v>53</v>
      </c>
      <c r="B19" s="16" t="s">
        <v>54</v>
      </c>
      <c r="C19" s="16"/>
      <c r="D19" s="17"/>
      <c r="E19" s="17"/>
      <c r="F19" s="18"/>
      <c r="G19" s="18"/>
    </row>
    <row r="20" customFormat="false" ht="36" hidden="false" customHeight="true" outlineLevel="0" collapsed="false">
      <c r="A20" s="21" t="s">
        <v>55</v>
      </c>
      <c r="B20" s="16" t="s">
        <v>56</v>
      </c>
      <c r="C20" s="16"/>
      <c r="D20" s="17"/>
      <c r="E20" s="17"/>
      <c r="F20" s="18"/>
      <c r="G20" s="18"/>
    </row>
  </sheetData>
  <mergeCells count="38">
    <mergeCell ref="A1:G1"/>
    <mergeCell ref="A2:G2"/>
    <mergeCell ref="A3:G3"/>
    <mergeCell ref="A4:G4"/>
    <mergeCell ref="A5:G5"/>
    <mergeCell ref="A6:G6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A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15"/>
  </cols>
  <sheetData>
    <row r="1" customFormat="false" ht="27.75" hidden="false" customHeight="true" outlineLevel="0" collapsed="false">
      <c r="A1" s="22" t="s">
        <v>57</v>
      </c>
      <c r="B1" s="22"/>
      <c r="C1" s="22"/>
      <c r="D1" s="22"/>
      <c r="E1" s="22"/>
    </row>
    <row r="2" customFormat="false" ht="15" hidden="false" customHeight="true" outlineLevel="0" collapsed="false">
      <c r="A2" s="23" t="s">
        <v>58</v>
      </c>
      <c r="B2" s="23"/>
      <c r="C2" s="23"/>
      <c r="D2" s="23"/>
      <c r="E2" s="23"/>
    </row>
    <row r="3" customFormat="false" ht="19.5" hidden="false" customHeight="true" outlineLevel="0" collapsed="false">
      <c r="A3" s="24" t="s">
        <v>36</v>
      </c>
      <c r="B3" s="25" t="s">
        <v>37</v>
      </c>
      <c r="C3" s="25" t="s">
        <v>59</v>
      </c>
      <c r="D3" s="25" t="s">
        <v>39</v>
      </c>
    </row>
    <row r="4" customFormat="false" ht="39.75" hidden="false" customHeight="true" outlineLevel="0" collapsed="false">
      <c r="A4" s="26" t="s">
        <v>40</v>
      </c>
      <c r="B4" s="27" t="s">
        <v>60</v>
      </c>
      <c r="C4" s="28" t="s">
        <v>61</v>
      </c>
      <c r="D4" s="29" t="n">
        <f aca="false">SUMIF('Datos de Ventas'!B3:B17,"Carlos",'Datos de Ventas'!E3:E17)</f>
        <v>35</v>
      </c>
    </row>
    <row r="5" customFormat="false" ht="39.75" hidden="false" customHeight="true" outlineLevel="0" collapsed="false">
      <c r="A5" s="26" t="s">
        <v>42</v>
      </c>
      <c r="B5" s="27" t="s">
        <v>62</v>
      </c>
      <c r="C5" s="28" t="s">
        <v>63</v>
      </c>
      <c r="D5" s="29" t="n">
        <f aca="false">SUMIF('Datos de Ventas'!C3:C17,"Electrónica",'Datos de Ventas'!E3:E17)</f>
        <v>25</v>
      </c>
    </row>
    <row r="6" customFormat="false" ht="39.75" hidden="false" customHeight="true" outlineLevel="0" collapsed="false">
      <c r="A6" s="26" t="s">
        <v>44</v>
      </c>
      <c r="B6" s="27" t="s">
        <v>64</v>
      </c>
      <c r="C6" s="28" t="s">
        <v>65</v>
      </c>
      <c r="D6" s="29" t="n">
        <f aca="false">SUMIF('Datos de Ventas'!C3:C17,"Alimentos",'Datos de Ventas'!E3:E17)</f>
        <v>80</v>
      </c>
    </row>
    <row r="7" customFormat="false" ht="39.75" hidden="false" customHeight="true" outlineLevel="0" collapsed="false">
      <c r="A7" s="26" t="s">
        <v>46</v>
      </c>
      <c r="B7" s="27" t="s">
        <v>66</v>
      </c>
      <c r="C7" s="28" t="s">
        <v>67</v>
      </c>
      <c r="D7" s="29" t="n">
        <f aca="false">SUMIF('Datos de Ventas'!B3:B17,"María",'Datos de Ventas'!E3:E17)</f>
        <v>33</v>
      </c>
    </row>
    <row r="8" customFormat="false" ht="39.75" hidden="false" customHeight="true" outlineLevel="0" collapsed="false">
      <c r="A8" s="26" t="s">
        <v>49</v>
      </c>
      <c r="B8" s="27" t="s">
        <v>68</v>
      </c>
      <c r="C8" s="28" t="s">
        <v>69</v>
      </c>
      <c r="D8" s="29" t="n">
        <f aca="false">SUMIFS('Datos de Ventas'!E3:E17,'Datos de Ventas'!C3:C17,"Electrónica",'Datos de Ventas'!B3:B17,"María")</f>
        <v>6</v>
      </c>
    </row>
    <row r="9" customFormat="false" ht="39.75" hidden="false" customHeight="true" outlineLevel="0" collapsed="false">
      <c r="A9" s="26" t="s">
        <v>51</v>
      </c>
      <c r="B9" s="27" t="s">
        <v>70</v>
      </c>
      <c r="C9" s="28" t="s">
        <v>71</v>
      </c>
      <c r="D9" s="29" t="n">
        <f aca="false">SUMIFS('Datos de Ventas'!E3:E17,'Datos de Ventas'!C3:C17,"Ropa",'Datos de Ventas'!B3:B17,"Carlos")</f>
        <v>2</v>
      </c>
    </row>
    <row r="10" customFormat="false" ht="39.75" hidden="false" customHeight="true" outlineLevel="0" collapsed="false">
      <c r="A10" s="26" t="s">
        <v>53</v>
      </c>
      <c r="B10" s="27" t="s">
        <v>72</v>
      </c>
      <c r="C10" s="28" t="s">
        <v>73</v>
      </c>
      <c r="D10" s="29" t="n">
        <f aca="false">SUMIFS('Datos de Ventas'!E3:E17,'Datos de Ventas'!C3:C17,"Alimentos",'Datos de Ventas'!B3:B17,"Ana")</f>
        <v>33</v>
      </c>
    </row>
    <row r="11" customFormat="false" ht="39.75" hidden="false" customHeight="true" outlineLevel="0" collapsed="false">
      <c r="A11" s="26" t="s">
        <v>55</v>
      </c>
      <c r="B11" s="27" t="s">
        <v>74</v>
      </c>
      <c r="C11" s="28" t="s">
        <v>75</v>
      </c>
      <c r="D11" s="29" t="n">
        <f aca="false">SUMIFS('Datos de Ventas'!E3:E17,'Datos de Ventas'!C3:C17,"Electrónica",'Datos de Ventas'!B3:B17,"Luis")</f>
        <v>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2026-05-06T13:27:36Z</dcterms:created>
  <dc:creator>openpyxl</dc:creator>
  <dc:description/>
  <dc:language>en-US</dc:language>
  <cp:lastModifiedBy/>
  <dcterms:modified xsi:type="dcterms:W3CDTF">2026-05-06T13:28:07Z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