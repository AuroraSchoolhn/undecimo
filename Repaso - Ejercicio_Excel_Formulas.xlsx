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" sheetId="1" state="visible" r:id="rId3"/>
    <sheet name="Análisis_SUMAR" sheetId="2" state="visible" r:id="rId4"/>
    <sheet name="Financieras" sheetId="3" state="visible" r:id="rId5"/>
    <sheet name="Guía_Rápid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<sst xmlns="http://schemas.openxmlformats.org/spreadsheetml/2006/main" count="259" uniqueCount="132">
  <si>
    <t xml:space="preserve">📊 BASE DE DATOS - VENTAS POR VENDEDOR Y REGIÓN</t>
  </si>
  <si>
    <t xml:space="preserve">Datos de ventas del año 2024 — usados como fuente en las hojas de análisis</t>
  </si>
  <si>
    <t xml:space="preserve">Vendedor</t>
  </si>
  <si>
    <t xml:space="preserve">Región</t>
  </si>
  <si>
    <t xml:space="preserve">Producto</t>
  </si>
  <si>
    <t xml:space="preserve">Categoría</t>
  </si>
  <si>
    <t xml:space="preserve">Trimestre</t>
  </si>
  <si>
    <t xml:space="preserve">Meta (L)</t>
  </si>
  <si>
    <t xml:space="preserve">Ventas (L)</t>
  </si>
  <si>
    <t xml:space="preserve">Estado</t>
  </si>
  <si>
    <t xml:space="preserve">Ana López</t>
  </si>
  <si>
    <t xml:space="preserve">Norte</t>
  </si>
  <si>
    <t xml:space="preserve">Laptop Pro</t>
  </si>
  <si>
    <t xml:space="preserve">Electrónica</t>
  </si>
  <si>
    <t xml:space="preserve">T1</t>
  </si>
  <si>
    <t xml:space="preserve">Activo</t>
  </si>
  <si>
    <t xml:space="preserve">Mouse Inalám.</t>
  </si>
  <si>
    <t xml:space="preserve">Accesorios</t>
  </si>
  <si>
    <t xml:space="preserve">T2</t>
  </si>
  <si>
    <t xml:space="preserve">T3</t>
  </si>
  <si>
    <t xml:space="preserve">Teclado Mec.</t>
  </si>
  <si>
    <t xml:space="preserve">T4</t>
  </si>
  <si>
    <t xml:space="preserve">Carlos Reyes</t>
  </si>
  <si>
    <t xml:space="preserve">Sur</t>
  </si>
  <si>
    <t xml:space="preserve">Monitor 4K</t>
  </si>
  <si>
    <t xml:space="preserve">Auriculares</t>
  </si>
  <si>
    <t xml:space="preserve">María Flores</t>
  </si>
  <si>
    <t xml:space="preserve">Este</t>
  </si>
  <si>
    <t xml:space="preserve">Inactivo</t>
  </si>
  <si>
    <t xml:space="preserve">Pedro Soto</t>
  </si>
  <si>
    <t xml:space="preserve">Oeste</t>
  </si>
  <si>
    <t xml:space="preserve">Laura Díaz</t>
  </si>
  <si>
    <t xml:space="preserve">📋 EJERCICIO: SUMAR.SI y SUMAR.SI.CONJUNTO</t>
  </si>
  <si>
    <t xml:space="preserve">Instrucciones: Completa las celdas en AMARILLO con la fórmula correcta que cruce datos desde la hoja 'Ventas'</t>
  </si>
  <si>
    <t xml:space="preserve">SECCIÓN A — SUMAR.SI: Total de Ventas por Vendedor (todos sus productos)</t>
  </si>
  <si>
    <t xml:space="preserve">Total Ventas (L)</t>
  </si>
  <si>
    <t xml:space="preserve">Fórmula a usar</t>
  </si>
  <si>
    <t xml:space="preserve">SUMAR.SI(Ventas!A:A, "Ana López", Ventas!G:G)</t>
  </si>
  <si>
    <t xml:space="preserve">SUMAR.SI(Ventas!A:A, "Carlos Reyes", Ventas!G:G)</t>
  </si>
  <si>
    <t xml:space="preserve">SUMAR.SI(Ventas!A:A, "María Flores", Ventas!G:G)</t>
  </si>
  <si>
    <t xml:space="preserve">SUMAR.SI(Ventas!A:A, "Pedro Soto", Ventas!G:G)</t>
  </si>
  <si>
    <t xml:space="preserve">SUMAR.SI(Ventas!A:A, "Laura Díaz", Ventas!G:G)</t>
  </si>
  <si>
    <t xml:space="preserve">SECCIÓN B — SUMAR.SI.CONJUNTO: Ventas con múltiples criterios</t>
  </si>
  <si>
    <t xml:space="preserve">Descripción</t>
  </si>
  <si>
    <t xml:space="preserve">(todos)</t>
  </si>
  <si>
    <t xml:space="preserve">Ventas de Ana en categoría Electrónica</t>
  </si>
  <si>
    <t xml:space="preserve">(todas)</t>
  </si>
  <si>
    <t xml:space="preserve">Ventas de Carlos en Trimestre 1</t>
  </si>
  <si>
    <t xml:space="preserve">Ventas de Accesorios en T2 (todos los vendedores)</t>
  </si>
  <si>
    <t xml:space="preserve">Ventas de María, Electrónica, T4</t>
  </si>
  <si>
    <t xml:space="preserve">Ventas de Pedro en Accesorios</t>
  </si>
  <si>
    <t xml:space="preserve">🏆 DESAFÍO: ¿Cuánto vendió Laura Díaz en la región Norte en T3 y T4 combinados? (usa 2 fórmulas y súmalas)</t>
  </si>
  <si>
    <t xml:space="preserve">💰 EJERCICIO: FUNCIONES FINANCIERAS — PAGO, VA y VF</t>
  </si>
  <si>
    <t xml:space="preserve">Instrucciones: Lee cada caso, completa los datos en AZUL y escribe la fórmula en la celda AMARILLA</t>
  </si>
  <si>
    <t xml:space="preserve">CASO 1 — Función PAGO: ¿Cuánto pagaré mensualmente por un préstamo?</t>
  </si>
  <si>
    <t xml:space="preserve">Concepto</t>
  </si>
  <si>
    <t xml:space="preserve">Valor</t>
  </si>
  <si>
    <t xml:space="preserve">Formato</t>
  </si>
  <si>
    <t xml:space="preserve">Nota</t>
  </si>
  <si>
    <t xml:space="preserve">Monto del préstamo (VA)</t>
  </si>
  <si>
    <t xml:space="preserve">Valor a financiar</t>
  </si>
  <si>
    <t xml:space="preserve">Tasa de interés anual</t>
  </si>
  <si>
    <t xml:space="preserve">18% anual</t>
  </si>
  <si>
    <t xml:space="preserve">Tasa mensual (÷12)</t>
  </si>
  <si>
    <t xml:space="preserve">← Calculada automáticamente</t>
  </si>
  <si>
    <t xml:space="preserve">Número de años</t>
  </si>
  <si>
    <t xml:space="preserve">Plazo del préstamo</t>
  </si>
  <si>
    <t xml:space="preserve">Número de cuotas (n×12)</t>
  </si>
  <si>
    <t xml:space="preserve">➤ Escribe la fórmula PAGO en la celda B12:</t>
  </si>
  <si>
    <t xml:space="preserve">Cuota mensual (PAGO)</t>
  </si>
  <si>
    <t xml:space="preserve">Sintaxis en Excel: =PAGO(tasa_mensual, nper, -va)   ← el VA va negativo porque es deuda</t>
  </si>
  <si>
    <t xml:space="preserve">CASO 2 — Función VA: ¿Cuánto vale hoy una serie de pagos futuros?</t>
  </si>
  <si>
    <t xml:space="preserve">Pago mensual que recibirás</t>
  </si>
  <si>
    <t xml:space="preserve">Cuota mensual constante</t>
  </si>
  <si>
    <t xml:space="preserve">Tasa de descuento anual</t>
  </si>
  <si>
    <t xml:space="preserve">12% anual</t>
  </si>
  <si>
    <t xml:space="preserve">Número de meses</t>
  </si>
  <si>
    <t xml:space="preserve">Recibirás pagos por 2 años</t>
  </si>
  <si>
    <t xml:space="preserve">➤ Escribe la fórmula VA en la celda B21:</t>
  </si>
  <si>
    <t xml:space="preserve">Valor actual (VA)</t>
  </si>
  <si>
    <t xml:space="preserve">Sintaxis en Excel: =VA(tasa_mensual, nper, -pago)   ← el pago va negativo (salida de caja)</t>
  </si>
  <si>
    <t xml:space="preserve">CASO 3 — Función VF: ¿Cuánto tendré ahorrado en el futuro?</t>
  </si>
  <si>
    <t xml:space="preserve">Depósito mensual</t>
  </si>
  <si>
    <t xml:space="preserve">Ahorrarás esta cantidad cada mes</t>
  </si>
  <si>
    <t xml:space="preserve">Tasa de interés anual del banco</t>
  </si>
  <si>
    <t xml:space="preserve">8% anual</t>
  </si>
  <si>
    <t xml:space="preserve">Ahorrarás por 5 años</t>
  </si>
  <si>
    <t xml:space="preserve">➤ Escribe la fórmula VF en la celda B30:</t>
  </si>
  <si>
    <t xml:space="preserve">Valor futuro (VF)</t>
  </si>
  <si>
    <t xml:space="preserve">Sintaxis en Excel: =VF(tasa_mensual, nper, -pago)   ← el pago va negativo (es dinero que sale)</t>
  </si>
  <si>
    <t xml:space="preserve">🏆 DESAFÍOS ADICIONALES</t>
  </si>
  <si>
    <t xml:space="preserve">1. Un auto cuesta L 450,000. El banco cobra 15% anual. ¿Cuánto pagarás mensualmente a 4 años? (PAGO)</t>
  </si>
  <si>
    <t xml:space="preserve">2. Te ofrecen recibir L 8,000 al mes por 3 años. Con tasa del 10% anual, ¿cuánto vale eso HOY? (VA)</t>
  </si>
  <si>
    <t xml:space="preserve">3. Ahorras L 2,500 al mes durante 3 años al 6% anual. ¿Cuánto acumulas? (VF)</t>
  </si>
  <si>
    <t xml:space="preserve">4. RETO: Con la hoja 'Ventas', ¿cuál vendedor tiene más ventas en Electrónica? (SUMAR.SI.CONJUNTO + comparación)</t>
  </si>
  <si>
    <t xml:space="preserve">📖 GUÍA RÁPIDA DE FÓRMULAS</t>
  </si>
  <si>
    <t xml:space="preserve">FUNCIÓN</t>
  </si>
  <si>
    <t xml:space="preserve">SINTAXIS</t>
  </si>
  <si>
    <t xml:space="preserve">¿PARA QUÉ SIRVE?</t>
  </si>
  <si>
    <t xml:space="preserve">EJEMPLO PRÁCTICO</t>
  </si>
  <si>
    <t xml:space="preserve">RESULTADO ESPERADO</t>
  </si>
  <si>
    <t xml:space="preserve">SUMAR.SI</t>
  </si>
  <si>
    <t xml:space="preserve"> =sumar.si(rango, criterio, rango_suma)</t>
  </si>
  <si>
    <t xml:space="preserve">Suma celdas que cumplen UNA condición</t>
  </si>
  <si>
    <t xml:space="preserve"> =sumar.si(A:A, "Ana López", G:G)</t>
  </si>
  <si>
    <t xml:space="preserve">Total ventas de Ana</t>
  </si>
  <si>
    <t xml:space="preserve">SUMAR.SI.CONJUNTO</t>
  </si>
  <si>
    <t xml:space="preserve"> =sumar.si.conjunto(rango_suma, rango1, crit1, rango2, crit2,...)</t>
  </si>
  <si>
    <t xml:space="preserve">Suma celdas que cumplen DOS O MÁS condiciones</t>
  </si>
  <si>
    <t xml:space="preserve"> =sumar.si.conjunto(G:G, A:A, "Ana", D:D, "Electrónica")</t>
  </si>
  <si>
    <t xml:space="preserve">Ventas de Ana en Electrónica</t>
  </si>
  <si>
    <t xml:space="preserve">PAGO</t>
  </si>
  <si>
    <t xml:space="preserve"> =pago(tasa, nper, -va)</t>
  </si>
  <si>
    <t xml:space="preserve">Calcula la CUOTA de un préstamo</t>
  </si>
  <si>
    <t xml:space="preserve"> =pago(18%/12, 36, -250000)</t>
  </si>
  <si>
    <t xml:space="preserve">Cuota mensual a pagar</t>
  </si>
  <si>
    <t xml:space="preserve">VA</t>
  </si>
  <si>
    <t xml:space="preserve"> =va(tasa, nper, -pago)</t>
  </si>
  <si>
    <t xml:space="preserve">Calcula el VALOR ACTUAL de pagos futuros</t>
  </si>
  <si>
    <t xml:space="preserve"> =va(12%/12, 24, -5000)</t>
  </si>
  <si>
    <t xml:space="preserve">Cuánto valen HOY esos pagos</t>
  </si>
  <si>
    <t xml:space="preserve">VF</t>
  </si>
  <si>
    <t xml:space="preserve"> =vf(tasa, nper, -pago)</t>
  </si>
  <si>
    <t xml:space="preserve">Calcula el VALOR FUTURO de ahorros periódicos</t>
  </si>
  <si>
    <t xml:space="preserve"> =vf(8%/12, 60, -3000)</t>
  </si>
  <si>
    <t xml:space="preserve">Cuánto tendrás al final</t>
  </si>
  <si>
    <t xml:space="preserve">⚠️ NOTAS IMPORTANTES</t>
  </si>
  <si>
    <t xml:space="preserve">• En PAGO y VF, el pago o valor actual debe ir NEGATIVO porque representa dinero que sale de tu bolsillo.</t>
  </si>
  <si>
    <t xml:space="preserve">• Para referencias entre hojas usa: NombreHoja!Columna:Columna  (ej: Ventas!A:A)</t>
  </si>
  <si>
    <t xml:space="preserve">• La tasa en funciones financieras debe ser el mismo período que nper (si nper=meses, tasa=mensual)</t>
  </si>
  <si>
    <t xml:space="preserve">• SUMAR.SI.CONJUNTO: el rango_suma va PRIMERO, luego pares (rango_criterio, criterio)</t>
  </si>
  <si>
    <t xml:space="preserve">• Puedes combinar SUMAR.SI.CONJUNTO con otras funciones como MAX, MIN o divisiones para obtener promedios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</si>
</sst>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L &quot;#,##0"/>
    <numFmt numFmtId="166" formatCode="0.00%"/>
    <numFmt numFmtId="167" formatCode="0.000%"/>
    <numFmt numFmtId="168" formatCode="0"/>
    <numFmt numFmtId="169" formatCode="&quot;L &quot;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375623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b val="true"/>
      <sz val="10"/>
      <color rgb="FF00008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i val="true"/>
      <sz val="9"/>
      <color rgb="FF375623"/>
      <name val="Arial"/>
      <family val="0"/>
      <charset val="1"/>
    </font>
    <font>
      <sz val="10"/>
      <color rgb="FF843C0C"/>
      <name val="Arial"/>
      <family val="0"/>
      <charset val="1"/>
    </font>
    <font>
      <sz val="10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2F2F2"/>
      </patternFill>
    </fill>
    <fill>
      <patternFill patternType="solid">
        <fgColor rgb="FF843C0C"/>
        <bgColor rgb="FF993366"/>
      </patternFill>
    </fill>
    <fill>
      <patternFill patternType="solid">
        <fgColor rgb="FFDDEEFF"/>
        <bgColor rgb="FFE2EFDA"/>
      </patternFill>
    </fill>
    <fill>
      <patternFill patternType="solid">
        <fgColor rgb="FF4472C4"/>
        <bgColor rgb="FF0066CC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DDEE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43C0C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1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15" hidden="false" customHeight="true" outlineLevel="0" collapsed="false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6" t="n">
        <v>50000</v>
      </c>
      <c r="G4" s="6" t="n">
        <v>62000</v>
      </c>
      <c r="H4" s="5" t="s">
        <v>15</v>
      </c>
    </row>
    <row r="5" customFormat="false" ht="15" hidden="false" customHeight="true" outlineLevel="0" collapsed="false">
      <c r="A5" s="7" t="s">
        <v>10</v>
      </c>
      <c r="B5" s="7" t="s">
        <v>11</v>
      </c>
      <c r="C5" s="7" t="s">
        <v>16</v>
      </c>
      <c r="D5" s="7" t="s">
        <v>17</v>
      </c>
      <c r="E5" s="7" t="s">
        <v>18</v>
      </c>
      <c r="F5" s="8" t="n">
        <v>30000</v>
      </c>
      <c r="G5" s="8" t="n">
        <v>27500</v>
      </c>
      <c r="H5" s="7" t="s">
        <v>15</v>
      </c>
    </row>
    <row r="6" customFormat="false" ht="15" hidden="false" customHeight="true" outlineLevel="0" collapsed="false">
      <c r="A6" s="5" t="s">
        <v>10</v>
      </c>
      <c r="B6" s="5" t="s">
        <v>11</v>
      </c>
      <c r="C6" s="5" t="s">
        <v>12</v>
      </c>
      <c r="D6" s="5" t="s">
        <v>13</v>
      </c>
      <c r="E6" s="5" t="s">
        <v>19</v>
      </c>
      <c r="F6" s="6" t="n">
        <v>55000</v>
      </c>
      <c r="G6" s="6" t="n">
        <v>70000</v>
      </c>
      <c r="H6" s="5" t="s">
        <v>15</v>
      </c>
    </row>
    <row r="7" customFormat="false" ht="15" hidden="false" customHeight="true" outlineLevel="0" collapsed="false">
      <c r="A7" s="7" t="s">
        <v>10</v>
      </c>
      <c r="B7" s="7" t="s">
        <v>11</v>
      </c>
      <c r="C7" s="7" t="s">
        <v>20</v>
      </c>
      <c r="D7" s="7" t="s">
        <v>17</v>
      </c>
      <c r="E7" s="7" t="s">
        <v>21</v>
      </c>
      <c r="F7" s="8" t="n">
        <v>25000</v>
      </c>
      <c r="G7" s="8" t="n">
        <v>31000</v>
      </c>
      <c r="H7" s="7" t="s">
        <v>15</v>
      </c>
    </row>
    <row r="8" customFormat="false" ht="15" hidden="false" customHeight="true" outlineLevel="0" collapsed="false">
      <c r="A8" s="5" t="s">
        <v>22</v>
      </c>
      <c r="B8" s="5" t="s">
        <v>23</v>
      </c>
      <c r="C8" s="5" t="s">
        <v>24</v>
      </c>
      <c r="D8" s="5" t="s">
        <v>13</v>
      </c>
      <c r="E8" s="5" t="s">
        <v>14</v>
      </c>
      <c r="F8" s="6" t="n">
        <v>45000</v>
      </c>
      <c r="G8" s="6" t="n">
        <v>38000</v>
      </c>
      <c r="H8" s="5" t="s">
        <v>15</v>
      </c>
    </row>
    <row r="9" customFormat="false" ht="15" hidden="false" customHeight="true" outlineLevel="0" collapsed="false">
      <c r="A9" s="7" t="s">
        <v>22</v>
      </c>
      <c r="B9" s="7" t="s">
        <v>23</v>
      </c>
      <c r="C9" s="7" t="s">
        <v>12</v>
      </c>
      <c r="D9" s="7" t="s">
        <v>13</v>
      </c>
      <c r="E9" s="7" t="s">
        <v>18</v>
      </c>
      <c r="F9" s="8" t="n">
        <v>60000</v>
      </c>
      <c r="G9" s="8" t="n">
        <v>65000</v>
      </c>
      <c r="H9" s="7" t="s">
        <v>15</v>
      </c>
    </row>
    <row r="10" customFormat="false" ht="15" hidden="false" customHeight="true" outlineLevel="0" collapsed="false">
      <c r="A10" s="5" t="s">
        <v>22</v>
      </c>
      <c r="B10" s="5" t="s">
        <v>23</v>
      </c>
      <c r="C10" s="5" t="s">
        <v>25</v>
      </c>
      <c r="D10" s="5" t="s">
        <v>17</v>
      </c>
      <c r="E10" s="5" t="s">
        <v>19</v>
      </c>
      <c r="F10" s="6" t="n">
        <v>20000</v>
      </c>
      <c r="G10" s="6" t="n">
        <v>22000</v>
      </c>
      <c r="H10" s="5" t="s">
        <v>15</v>
      </c>
    </row>
    <row r="11" customFormat="false" ht="15" hidden="false" customHeight="true" outlineLevel="0" collapsed="false">
      <c r="A11" s="7" t="s">
        <v>22</v>
      </c>
      <c r="B11" s="7" t="s">
        <v>23</v>
      </c>
      <c r="C11" s="7" t="s">
        <v>24</v>
      </c>
      <c r="D11" s="7" t="s">
        <v>13</v>
      </c>
      <c r="E11" s="7" t="s">
        <v>21</v>
      </c>
      <c r="F11" s="8" t="n">
        <v>48000</v>
      </c>
      <c r="G11" s="8" t="n">
        <v>44000</v>
      </c>
      <c r="H11" s="7" t="s">
        <v>15</v>
      </c>
    </row>
    <row r="12" customFormat="false" ht="15" hidden="false" customHeight="true" outlineLevel="0" collapsed="false">
      <c r="A12" s="5" t="s">
        <v>26</v>
      </c>
      <c r="B12" s="5" t="s">
        <v>27</v>
      </c>
      <c r="C12" s="5" t="s">
        <v>12</v>
      </c>
      <c r="D12" s="5" t="s">
        <v>13</v>
      </c>
      <c r="E12" s="5" t="s">
        <v>14</v>
      </c>
      <c r="F12" s="6" t="n">
        <v>55000</v>
      </c>
      <c r="G12" s="6" t="n">
        <v>58000</v>
      </c>
      <c r="H12" s="5" t="s">
        <v>15</v>
      </c>
    </row>
    <row r="13" customFormat="false" ht="15" hidden="false" customHeight="true" outlineLevel="0" collapsed="false">
      <c r="A13" s="7" t="s">
        <v>26</v>
      </c>
      <c r="B13" s="7" t="s">
        <v>27</v>
      </c>
      <c r="C13" s="7" t="s">
        <v>24</v>
      </c>
      <c r="D13" s="7" t="s">
        <v>13</v>
      </c>
      <c r="E13" s="7" t="s">
        <v>18</v>
      </c>
      <c r="F13" s="8" t="n">
        <v>42000</v>
      </c>
      <c r="G13" s="8" t="n">
        <v>49000</v>
      </c>
      <c r="H13" s="7" t="s">
        <v>15</v>
      </c>
    </row>
    <row r="14" customFormat="false" ht="15" hidden="false" customHeight="true" outlineLevel="0" collapsed="false">
      <c r="A14" s="5" t="s">
        <v>26</v>
      </c>
      <c r="B14" s="5" t="s">
        <v>27</v>
      </c>
      <c r="C14" s="5" t="s">
        <v>16</v>
      </c>
      <c r="D14" s="5" t="s">
        <v>17</v>
      </c>
      <c r="E14" s="5" t="s">
        <v>19</v>
      </c>
      <c r="F14" s="6" t="n">
        <v>18000</v>
      </c>
      <c r="G14" s="6" t="n">
        <v>16500</v>
      </c>
      <c r="H14" s="5" t="s">
        <v>28</v>
      </c>
    </row>
    <row r="15" customFormat="false" ht="15" hidden="false" customHeight="true" outlineLevel="0" collapsed="false">
      <c r="A15" s="7" t="s">
        <v>26</v>
      </c>
      <c r="B15" s="7" t="s">
        <v>27</v>
      </c>
      <c r="C15" s="7" t="s">
        <v>12</v>
      </c>
      <c r="D15" s="7" t="s">
        <v>13</v>
      </c>
      <c r="E15" s="7" t="s">
        <v>21</v>
      </c>
      <c r="F15" s="8" t="n">
        <v>60000</v>
      </c>
      <c r="G15" s="8" t="n">
        <v>72000</v>
      </c>
      <c r="H15" s="7" t="s">
        <v>15</v>
      </c>
    </row>
    <row r="16" customFormat="false" ht="15" hidden="false" customHeight="true" outlineLevel="0" collapsed="false">
      <c r="A16" s="5" t="s">
        <v>29</v>
      </c>
      <c r="B16" s="5" t="s">
        <v>30</v>
      </c>
      <c r="C16" s="5" t="s">
        <v>20</v>
      </c>
      <c r="D16" s="5" t="s">
        <v>17</v>
      </c>
      <c r="E16" s="5" t="s">
        <v>14</v>
      </c>
      <c r="F16" s="6" t="n">
        <v>22000</v>
      </c>
      <c r="G16" s="6" t="n">
        <v>25000</v>
      </c>
      <c r="H16" s="5" t="s">
        <v>15</v>
      </c>
    </row>
    <row r="17" customFormat="false" ht="15" hidden="false" customHeight="true" outlineLevel="0" collapsed="false">
      <c r="A17" s="7" t="s">
        <v>29</v>
      </c>
      <c r="B17" s="7" t="s">
        <v>30</v>
      </c>
      <c r="C17" s="7" t="s">
        <v>25</v>
      </c>
      <c r="D17" s="7" t="s">
        <v>17</v>
      </c>
      <c r="E17" s="7" t="s">
        <v>18</v>
      </c>
      <c r="F17" s="8" t="n">
        <v>15000</v>
      </c>
      <c r="G17" s="8" t="n">
        <v>12000</v>
      </c>
      <c r="H17" s="7" t="s">
        <v>15</v>
      </c>
    </row>
    <row r="18" customFormat="false" ht="15" hidden="false" customHeight="true" outlineLevel="0" collapsed="false">
      <c r="A18" s="5" t="s">
        <v>29</v>
      </c>
      <c r="B18" s="5" t="s">
        <v>30</v>
      </c>
      <c r="C18" s="5" t="s">
        <v>24</v>
      </c>
      <c r="D18" s="5" t="s">
        <v>13</v>
      </c>
      <c r="E18" s="5" t="s">
        <v>19</v>
      </c>
      <c r="F18" s="6" t="n">
        <v>50000</v>
      </c>
      <c r="G18" s="6" t="n">
        <v>55000</v>
      </c>
      <c r="H18" s="5" t="s">
        <v>15</v>
      </c>
    </row>
    <row r="19" customFormat="false" ht="15" hidden="false" customHeight="true" outlineLevel="0" collapsed="false">
      <c r="A19" s="7" t="s">
        <v>29</v>
      </c>
      <c r="B19" s="7" t="s">
        <v>30</v>
      </c>
      <c r="C19" s="7" t="s">
        <v>12</v>
      </c>
      <c r="D19" s="7" t="s">
        <v>13</v>
      </c>
      <c r="E19" s="7" t="s">
        <v>21</v>
      </c>
      <c r="F19" s="8" t="n">
        <v>65000</v>
      </c>
      <c r="G19" s="8" t="n">
        <v>68000</v>
      </c>
      <c r="H19" s="7" t="s">
        <v>15</v>
      </c>
    </row>
    <row r="20" customFormat="false" ht="15" hidden="false" customHeight="true" outlineLevel="0" collapsed="false">
      <c r="A20" s="5" t="s">
        <v>31</v>
      </c>
      <c r="B20" s="5" t="s">
        <v>11</v>
      </c>
      <c r="C20" s="5" t="s">
        <v>24</v>
      </c>
      <c r="D20" s="5" t="s">
        <v>13</v>
      </c>
      <c r="E20" s="5" t="s">
        <v>14</v>
      </c>
      <c r="F20" s="6" t="n">
        <v>40000</v>
      </c>
      <c r="G20" s="6" t="n">
        <v>43000</v>
      </c>
      <c r="H20" s="5" t="s">
        <v>15</v>
      </c>
    </row>
    <row r="21" customFormat="false" ht="15" hidden="false" customHeight="true" outlineLevel="0" collapsed="false">
      <c r="A21" s="7" t="s">
        <v>31</v>
      </c>
      <c r="B21" s="7" t="s">
        <v>11</v>
      </c>
      <c r="C21" s="7" t="s">
        <v>25</v>
      </c>
      <c r="D21" s="7" t="s">
        <v>17</v>
      </c>
      <c r="E21" s="7" t="s">
        <v>18</v>
      </c>
      <c r="F21" s="8" t="n">
        <v>18000</v>
      </c>
      <c r="G21" s="8" t="n">
        <v>21000</v>
      </c>
      <c r="H21" s="7" t="s">
        <v>15</v>
      </c>
    </row>
    <row r="22" customFormat="false" ht="15" hidden="false" customHeight="true" outlineLevel="0" collapsed="false">
      <c r="A22" s="5" t="s">
        <v>31</v>
      </c>
      <c r="B22" s="5" t="s">
        <v>11</v>
      </c>
      <c r="C22" s="5" t="s">
        <v>12</v>
      </c>
      <c r="D22" s="5" t="s">
        <v>13</v>
      </c>
      <c r="E22" s="5" t="s">
        <v>19</v>
      </c>
      <c r="F22" s="6" t="n">
        <v>58000</v>
      </c>
      <c r="G22" s="6" t="n">
        <v>54000</v>
      </c>
      <c r="H22" s="5" t="s">
        <v>15</v>
      </c>
    </row>
    <row r="23" customFormat="false" ht="15" hidden="false" customHeight="true" outlineLevel="0" collapsed="false">
      <c r="A23" s="7" t="s">
        <v>31</v>
      </c>
      <c r="B23" s="7" t="s">
        <v>11</v>
      </c>
      <c r="C23" s="7" t="s">
        <v>20</v>
      </c>
      <c r="D23" s="7" t="s">
        <v>17</v>
      </c>
      <c r="E23" s="7" t="s">
        <v>21</v>
      </c>
      <c r="F23" s="8" t="n">
        <v>20000</v>
      </c>
      <c r="G23" s="8" t="n">
        <v>23500</v>
      </c>
      <c r="H23" s="7" t="s">
        <v>15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7" min="5" style="1" width="10"/>
  </cols>
  <sheetData>
    <row r="1" customFormat="false" ht="30" hidden="false" customHeight="true" outlineLevel="0" collapsed="false">
      <c r="A1" s="9" t="s">
        <v>32</v>
      </c>
      <c r="B1" s="9"/>
      <c r="C1" s="9"/>
      <c r="D1" s="9"/>
      <c r="E1" s="9"/>
      <c r="F1" s="9"/>
      <c r="G1" s="9"/>
    </row>
    <row r="2" customFormat="false" ht="15" hidden="false" customHeight="true" outlineLevel="0" collapsed="false">
      <c r="A2" s="10" t="s">
        <v>33</v>
      </c>
      <c r="B2" s="10"/>
      <c r="C2" s="10"/>
      <c r="D2" s="10"/>
      <c r="E2" s="10"/>
      <c r="F2" s="10"/>
      <c r="G2" s="10"/>
    </row>
    <row r="4" customFormat="false" ht="21.75" hidden="false" customHeight="true" outlineLevel="0" collapsed="false">
      <c r="A4" s="11" t="s">
        <v>34</v>
      </c>
      <c r="B4" s="11"/>
      <c r="C4" s="11"/>
      <c r="D4" s="11"/>
      <c r="E4" s="11"/>
      <c r="F4" s="11"/>
      <c r="G4" s="11"/>
    </row>
    <row r="5" customFormat="false" ht="26.25" hidden="false" customHeight="true" outlineLevel="0" collapsed="false">
      <c r="A5" s="12" t="s">
        <v>2</v>
      </c>
      <c r="B5" s="12" t="s">
        <v>35</v>
      </c>
      <c r="C5" s="12" t="s">
        <v>36</v>
      </c>
      <c r="D5" s="12"/>
      <c r="E5" s="12"/>
      <c r="F5" s="12"/>
      <c r="G5" s="12"/>
    </row>
    <row r="6" customFormat="false" ht="15" hidden="false" customHeight="true" outlineLevel="0" collapsed="false">
      <c r="A6" s="13" t="s">
        <v>10</v>
      </c>
      <c r="B6" s="14" t="n">
        <f aca="false">SUMIF(Ventas!A:A,A6,Ventas!G:G)</f>
        <v>190500</v>
      </c>
      <c r="C6" s="15" t="s">
        <v>37</v>
      </c>
      <c r="D6" s="15"/>
      <c r="E6" s="15"/>
      <c r="F6" s="15"/>
      <c r="G6" s="15"/>
    </row>
    <row r="7" customFormat="false" ht="15" hidden="false" customHeight="true" outlineLevel="0" collapsed="false">
      <c r="A7" s="7" t="s">
        <v>22</v>
      </c>
      <c r="B7" s="14" t="n">
        <f aca="false">SUMIF(Ventas!A:A,A7,Ventas!G:G)</f>
        <v>169000</v>
      </c>
      <c r="C7" s="15" t="s">
        <v>38</v>
      </c>
      <c r="D7" s="15"/>
      <c r="E7" s="15"/>
      <c r="F7" s="15"/>
      <c r="G7" s="15"/>
    </row>
    <row r="8" customFormat="false" ht="15" hidden="false" customHeight="true" outlineLevel="0" collapsed="false">
      <c r="A8" s="13" t="s">
        <v>26</v>
      </c>
      <c r="B8" s="14" t="n">
        <f aca="false">SUMIF(Ventas!A:A,A8,Ventas!G:G)</f>
        <v>195500</v>
      </c>
      <c r="C8" s="15" t="s">
        <v>39</v>
      </c>
      <c r="D8" s="15"/>
      <c r="E8" s="15"/>
      <c r="F8" s="15"/>
      <c r="G8" s="15"/>
    </row>
    <row r="9" customFormat="false" ht="15" hidden="false" customHeight="true" outlineLevel="0" collapsed="false">
      <c r="A9" s="7" t="s">
        <v>29</v>
      </c>
      <c r="B9" s="14" t="n">
        <f aca="false">SUMIF(Ventas!A:A,A9,Ventas!G:G)</f>
        <v>160000</v>
      </c>
      <c r="C9" s="15" t="s">
        <v>40</v>
      </c>
      <c r="D9" s="15"/>
      <c r="E9" s="15"/>
      <c r="F9" s="15"/>
      <c r="G9" s="15"/>
    </row>
    <row r="10" customFormat="false" ht="15" hidden="false" customHeight="true" outlineLevel="0" collapsed="false">
      <c r="A10" s="13" t="s">
        <v>31</v>
      </c>
      <c r="B10" s="14" t="n">
        <f aca="false">SUMIF(Ventas!A:A,A10,Ventas!G:G)</f>
        <v>141500</v>
      </c>
      <c r="C10" s="15" t="s">
        <v>41</v>
      </c>
      <c r="D10" s="15"/>
      <c r="E10" s="15"/>
      <c r="F10" s="15"/>
      <c r="G10" s="15"/>
    </row>
    <row r="13" customFormat="false" ht="21.75" hidden="false" customHeight="true" outlineLevel="0" collapsed="false">
      <c r="A13" s="11" t="s">
        <v>42</v>
      </c>
      <c r="B13" s="11"/>
      <c r="C13" s="11"/>
      <c r="D13" s="11"/>
      <c r="E13" s="11"/>
      <c r="F13" s="11"/>
      <c r="G13" s="11"/>
    </row>
    <row r="14" customFormat="false" ht="26.25" hidden="false" customHeight="true" outlineLevel="0" collapsed="false">
      <c r="A14" s="12" t="s">
        <v>2</v>
      </c>
      <c r="B14" s="12" t="s">
        <v>5</v>
      </c>
      <c r="C14" s="12" t="s">
        <v>6</v>
      </c>
      <c r="D14" s="12" t="s">
        <v>35</v>
      </c>
      <c r="E14" s="12" t="s">
        <v>43</v>
      </c>
      <c r="F14" s="12"/>
      <c r="G14" s="12"/>
    </row>
    <row r="15" customFormat="false" ht="15" hidden="false" customHeight="true" outlineLevel="0" collapsed="false">
      <c r="A15" s="7" t="s">
        <v>10</v>
      </c>
      <c r="B15" s="7" t="s">
        <v>13</v>
      </c>
      <c r="C15" s="7" t="s">
        <v>44</v>
      </c>
      <c r="D15" s="14" t="n">
        <f aca="false">SUMIFS(Ventas!G:G,Ventas!A:A,"Ana López",Ventas!D:D,"Electrónica")</f>
        <v>132000</v>
      </c>
      <c r="E15" s="16" t="s">
        <v>45</v>
      </c>
      <c r="F15" s="16"/>
      <c r="G15" s="16"/>
    </row>
    <row r="16" customFormat="false" ht="15" hidden="false" customHeight="true" outlineLevel="0" collapsed="false">
      <c r="A16" s="13" t="s">
        <v>22</v>
      </c>
      <c r="B16" s="13" t="s">
        <v>46</v>
      </c>
      <c r="C16" s="13" t="s">
        <v>14</v>
      </c>
      <c r="D16" s="14" t="n">
        <f aca="false">SUMIFS(Ventas!G:G,Ventas!A:A,"Carlos Reyes",Ventas!E:E,"T1")</f>
        <v>38000</v>
      </c>
      <c r="E16" s="16" t="s">
        <v>47</v>
      </c>
      <c r="F16" s="16"/>
      <c r="G16" s="16"/>
    </row>
    <row r="17" customFormat="false" ht="15" hidden="false" customHeight="true" outlineLevel="0" collapsed="false">
      <c r="A17" s="7" t="s">
        <v>44</v>
      </c>
      <c r="B17" s="7" t="s">
        <v>17</v>
      </c>
      <c r="C17" s="7" t="s">
        <v>18</v>
      </c>
      <c r="D17" s="14" t="n">
        <f aca="false">SUMIFS(Ventas!G:G,Ventas!D:D,"Accesorios",Ventas!E:E,"T2")</f>
        <v>60500</v>
      </c>
      <c r="E17" s="16" t="s">
        <v>48</v>
      </c>
      <c r="F17" s="16"/>
      <c r="G17" s="16"/>
    </row>
    <row r="18" customFormat="false" ht="15" hidden="false" customHeight="true" outlineLevel="0" collapsed="false">
      <c r="A18" s="13" t="s">
        <v>26</v>
      </c>
      <c r="B18" s="13" t="s">
        <v>13</v>
      </c>
      <c r="C18" s="13" t="s">
        <v>21</v>
      </c>
      <c r="D18" s="14" t="n">
        <f aca="false">SUMIFS(Ventas!G:G,Ventas!A:A,"María Flores",Ventas!D:D,"Electrónica",Ventas!E:E,"T4")</f>
        <v>72000</v>
      </c>
      <c r="E18" s="16" t="s">
        <v>49</v>
      </c>
      <c r="F18" s="16"/>
      <c r="G18" s="16"/>
    </row>
    <row r="19" customFormat="false" ht="15" hidden="false" customHeight="true" outlineLevel="0" collapsed="false">
      <c r="A19" s="7" t="s">
        <v>29</v>
      </c>
      <c r="B19" s="7" t="s">
        <v>17</v>
      </c>
      <c r="C19" s="7" t="s">
        <v>44</v>
      </c>
      <c r="D19" s="14" t="n">
        <f aca="false">SUMIFS(Ventas!G:G,Ventas!A:A,"Pedro Soto",Ventas!D:D,"Accesorios")</f>
        <v>37000</v>
      </c>
      <c r="E19" s="16" t="s">
        <v>50</v>
      </c>
      <c r="F19" s="16"/>
      <c r="G19" s="16"/>
    </row>
    <row r="22" customFormat="false" ht="15" hidden="false" customHeight="true" outlineLevel="0" collapsed="false">
      <c r="A22" s="17" t="s">
        <v>51</v>
      </c>
      <c r="B22" s="17"/>
      <c r="C22" s="17"/>
      <c r="D22" s="17"/>
      <c r="E22" s="17"/>
      <c r="F22" s="17"/>
      <c r="G22" s="17"/>
    </row>
  </sheetData>
  <mergeCells count="17">
    <mergeCell ref="A1:G1"/>
    <mergeCell ref="A2:G2"/>
    <mergeCell ref="A4:G4"/>
    <mergeCell ref="C5:G5"/>
    <mergeCell ref="C6:G6"/>
    <mergeCell ref="C7:G7"/>
    <mergeCell ref="C8:G8"/>
    <mergeCell ref="C9:G9"/>
    <mergeCell ref="C10:G10"/>
    <mergeCell ref="A13:G13"/>
    <mergeCell ref="E14:G14"/>
    <mergeCell ref="E15:G15"/>
    <mergeCell ref="E16:G16"/>
    <mergeCell ref="E17:G17"/>
    <mergeCell ref="E18:G18"/>
    <mergeCell ref="E19:G19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8" min="4" style="1" width="12"/>
  </cols>
  <sheetData>
    <row r="1" customFormat="false" ht="30" hidden="false" customHeight="true" outlineLevel="0" collapsed="false">
      <c r="A1" s="18" t="s">
        <v>52</v>
      </c>
      <c r="B1" s="18"/>
      <c r="C1" s="18"/>
      <c r="D1" s="18"/>
      <c r="E1" s="18"/>
      <c r="F1" s="18"/>
      <c r="G1" s="18"/>
      <c r="H1" s="18"/>
    </row>
    <row r="2" customFormat="false" ht="15" hidden="false" customHeight="true" outlineLevel="0" collapsed="false">
      <c r="A2" s="19" t="s">
        <v>53</v>
      </c>
      <c r="B2" s="19"/>
      <c r="C2" s="19"/>
      <c r="D2" s="19"/>
      <c r="E2" s="19"/>
      <c r="F2" s="19"/>
      <c r="G2" s="19"/>
      <c r="H2" s="19"/>
    </row>
    <row r="4" customFormat="false" ht="21.75" hidden="false" customHeight="true" outlineLevel="0" collapsed="false">
      <c r="A4" s="20" t="s">
        <v>54</v>
      </c>
      <c r="B4" s="20"/>
      <c r="C4" s="20"/>
      <c r="D4" s="20"/>
      <c r="E4" s="20"/>
      <c r="F4" s="20"/>
      <c r="G4" s="20"/>
      <c r="H4" s="20"/>
    </row>
    <row r="5" customFormat="false" ht="15" hidden="false" customHeight="true" outlineLevel="0" collapsed="false">
      <c r="A5" s="21" t="s">
        <v>55</v>
      </c>
      <c r="B5" s="21" t="s">
        <v>56</v>
      </c>
      <c r="C5" s="21" t="s">
        <v>57</v>
      </c>
      <c r="D5" s="21" t="s">
        <v>58</v>
      </c>
      <c r="E5" s="21"/>
      <c r="F5" s="21"/>
      <c r="G5" s="21"/>
      <c r="H5" s="21"/>
    </row>
    <row r="6" customFormat="false" ht="15" hidden="false" customHeight="true" outlineLevel="0" collapsed="false">
      <c r="A6" s="22" t="s">
        <v>59</v>
      </c>
      <c r="B6" s="23" t="n">
        <v>250000</v>
      </c>
      <c r="C6" s="24" t="s">
        <v>60</v>
      </c>
      <c r="D6" s="24"/>
      <c r="E6" s="24"/>
      <c r="F6" s="24"/>
      <c r="G6" s="24"/>
      <c r="H6" s="24"/>
    </row>
    <row r="7" customFormat="false" ht="15" hidden="false" customHeight="true" outlineLevel="0" collapsed="false">
      <c r="A7" s="25" t="s">
        <v>61</v>
      </c>
      <c r="B7" s="26" t="n">
        <v>0.18</v>
      </c>
      <c r="C7" s="24" t="s">
        <v>62</v>
      </c>
      <c r="D7" s="24"/>
      <c r="E7" s="24"/>
      <c r="F7" s="24"/>
      <c r="G7" s="24"/>
      <c r="H7" s="24"/>
    </row>
    <row r="8" customFormat="false" ht="15" hidden="false" customHeight="true" outlineLevel="0" collapsed="false">
      <c r="A8" s="22" t="s">
        <v>63</v>
      </c>
      <c r="B8" s="27" t="n">
        <f aca="false">B6/12</f>
        <v>20833.3333333333</v>
      </c>
      <c r="C8" s="24" t="s">
        <v>64</v>
      </c>
      <c r="D8" s="24"/>
      <c r="E8" s="24"/>
      <c r="F8" s="24"/>
      <c r="G8" s="24"/>
      <c r="H8" s="24"/>
    </row>
    <row r="9" customFormat="false" ht="15" hidden="false" customHeight="true" outlineLevel="0" collapsed="false">
      <c r="A9" s="25" t="s">
        <v>65</v>
      </c>
      <c r="B9" s="28" t="n">
        <v>3</v>
      </c>
      <c r="C9" s="24" t="s">
        <v>66</v>
      </c>
      <c r="D9" s="24"/>
      <c r="E9" s="24"/>
      <c r="F9" s="24"/>
      <c r="G9" s="24"/>
      <c r="H9" s="24"/>
    </row>
    <row r="10" customFormat="false" ht="15" hidden="false" customHeight="true" outlineLevel="0" collapsed="false">
      <c r="A10" s="22" t="s">
        <v>67</v>
      </c>
      <c r="B10" s="28" t="n">
        <f aca="false">B9*12</f>
        <v>36</v>
      </c>
      <c r="C10" s="24" t="s">
        <v>64</v>
      </c>
      <c r="D10" s="24"/>
      <c r="E10" s="24"/>
      <c r="F10" s="24"/>
      <c r="G10" s="24"/>
      <c r="H10" s="24"/>
    </row>
    <row r="11" customFormat="false" ht="15" hidden="false" customHeight="true" outlineLevel="0" collapsed="false">
      <c r="A11" s="17" t="s">
        <v>68</v>
      </c>
      <c r="B11" s="17"/>
      <c r="C11" s="17"/>
      <c r="D11" s="17"/>
      <c r="E11" s="17"/>
      <c r="F11" s="17"/>
      <c r="G11" s="17"/>
      <c r="H11" s="17"/>
    </row>
    <row r="12" customFormat="false" ht="15" hidden="false" customHeight="true" outlineLevel="0" collapsed="false">
      <c r="A12" s="29" t="s">
        <v>69</v>
      </c>
      <c r="B12" s="30" t="n">
        <f aca="false">PMT(B7,B10,-B6)</f>
        <v>45116.5691968182</v>
      </c>
      <c r="C12" s="31" t="s">
        <v>70</v>
      </c>
      <c r="D12" s="31"/>
      <c r="E12" s="31"/>
      <c r="F12" s="31"/>
      <c r="G12" s="31"/>
      <c r="H12" s="31"/>
    </row>
    <row r="14" customFormat="false" ht="21.75" hidden="false" customHeight="true" outlineLevel="0" collapsed="false">
      <c r="A14" s="20" t="s">
        <v>71</v>
      </c>
      <c r="B14" s="20"/>
      <c r="C14" s="20"/>
      <c r="D14" s="20"/>
      <c r="E14" s="20"/>
      <c r="F14" s="20"/>
      <c r="G14" s="20"/>
      <c r="H14" s="20"/>
    </row>
    <row r="15" customFormat="false" ht="15" hidden="false" customHeight="true" outlineLevel="0" collapsed="false">
      <c r="A15" s="25" t="s">
        <v>72</v>
      </c>
      <c r="B15" s="23" t="n">
        <v>5000</v>
      </c>
      <c r="C15" s="24" t="s">
        <v>73</v>
      </c>
      <c r="D15" s="24"/>
      <c r="E15" s="24"/>
      <c r="F15" s="24"/>
      <c r="G15" s="24"/>
      <c r="H15" s="24"/>
    </row>
    <row r="16" customFormat="false" ht="15" hidden="false" customHeight="true" outlineLevel="0" collapsed="false">
      <c r="A16" s="22" t="s">
        <v>74</v>
      </c>
      <c r="B16" s="26" t="n">
        <v>0.12</v>
      </c>
      <c r="C16" s="24" t="s">
        <v>75</v>
      </c>
      <c r="D16" s="24"/>
      <c r="E16" s="24"/>
      <c r="F16" s="24"/>
      <c r="G16" s="24"/>
      <c r="H16" s="24"/>
    </row>
    <row r="17" customFormat="false" ht="15" hidden="false" customHeight="true" outlineLevel="0" collapsed="false">
      <c r="A17" s="25" t="s">
        <v>63</v>
      </c>
      <c r="B17" s="27" t="n">
        <f aca="false">B16/12</f>
        <v>0.01</v>
      </c>
      <c r="C17" s="24" t="s">
        <v>64</v>
      </c>
      <c r="D17" s="24"/>
      <c r="E17" s="24"/>
      <c r="F17" s="24"/>
      <c r="G17" s="24"/>
      <c r="H17" s="24"/>
    </row>
    <row r="18" customFormat="false" ht="15" hidden="false" customHeight="true" outlineLevel="0" collapsed="false">
      <c r="A18" s="22" t="s">
        <v>76</v>
      </c>
      <c r="B18" s="28" t="n">
        <v>24</v>
      </c>
      <c r="C18" s="24" t="s">
        <v>77</v>
      </c>
      <c r="D18" s="24"/>
      <c r="E18" s="24"/>
      <c r="F18" s="24"/>
      <c r="G18" s="24"/>
      <c r="H18" s="24"/>
    </row>
    <row r="20" customFormat="false" ht="15" hidden="false" customHeight="true" outlineLevel="0" collapsed="false">
      <c r="A20" s="17" t="s">
        <v>78</v>
      </c>
      <c r="B20" s="17"/>
      <c r="C20" s="17"/>
      <c r="D20" s="17"/>
      <c r="E20" s="17"/>
      <c r="F20" s="17"/>
      <c r="G20" s="17"/>
      <c r="H20" s="17"/>
    </row>
    <row r="21" customFormat="false" ht="15" hidden="false" customHeight="true" outlineLevel="0" collapsed="false">
      <c r="A21" s="29" t="s">
        <v>79</v>
      </c>
      <c r="B21" s="30" t="n">
        <f aca="false">PV(B17,B18,-B15)</f>
        <v>106216.936288139</v>
      </c>
      <c r="C21" s="31" t="s">
        <v>80</v>
      </c>
      <c r="D21" s="31"/>
      <c r="E21" s="31"/>
      <c r="F21" s="31"/>
      <c r="G21" s="31"/>
      <c r="H21" s="31"/>
    </row>
    <row r="23" customFormat="false" ht="21.75" hidden="false" customHeight="true" outlineLevel="0" collapsed="false">
      <c r="A23" s="20" t="s">
        <v>81</v>
      </c>
      <c r="B23" s="20"/>
      <c r="C23" s="20"/>
      <c r="D23" s="20"/>
      <c r="E23" s="20"/>
      <c r="F23" s="20"/>
      <c r="G23" s="20"/>
      <c r="H23" s="20"/>
    </row>
    <row r="24" customFormat="false" ht="15" hidden="false" customHeight="true" outlineLevel="0" collapsed="false">
      <c r="A24" s="22" t="s">
        <v>82</v>
      </c>
      <c r="B24" s="23" t="n">
        <v>3000</v>
      </c>
      <c r="C24" s="24" t="s">
        <v>83</v>
      </c>
      <c r="D24" s="24"/>
      <c r="E24" s="24"/>
      <c r="F24" s="24"/>
      <c r="G24" s="24"/>
      <c r="H24" s="24"/>
    </row>
    <row r="25" customFormat="false" ht="15" hidden="false" customHeight="true" outlineLevel="0" collapsed="false">
      <c r="A25" s="25" t="s">
        <v>84</v>
      </c>
      <c r="B25" s="26" t="n">
        <v>0.08</v>
      </c>
      <c r="C25" s="24" t="s">
        <v>85</v>
      </c>
      <c r="D25" s="24"/>
      <c r="E25" s="24"/>
      <c r="F25" s="24"/>
      <c r="G25" s="24"/>
      <c r="H25" s="24"/>
    </row>
    <row r="26" customFormat="false" ht="15" hidden="false" customHeight="true" outlineLevel="0" collapsed="false">
      <c r="A26" s="22" t="s">
        <v>63</v>
      </c>
      <c r="B26" s="27" t="n">
        <f aca="false">B25/12</f>
        <v>0.00666666666666667</v>
      </c>
      <c r="C26" s="24" t="s">
        <v>64</v>
      </c>
      <c r="D26" s="24"/>
      <c r="E26" s="24"/>
      <c r="F26" s="24"/>
      <c r="G26" s="24"/>
      <c r="H26" s="24"/>
    </row>
    <row r="27" customFormat="false" ht="15" hidden="false" customHeight="true" outlineLevel="0" collapsed="false">
      <c r="A27" s="25" t="s">
        <v>76</v>
      </c>
      <c r="B27" s="28" t="n">
        <v>60</v>
      </c>
      <c r="C27" s="24" t="s">
        <v>86</v>
      </c>
      <c r="D27" s="24"/>
      <c r="E27" s="24"/>
      <c r="F27" s="24"/>
      <c r="G27" s="24"/>
      <c r="H27" s="24"/>
    </row>
    <row r="29" customFormat="false" ht="15" hidden="false" customHeight="true" outlineLevel="0" collapsed="false">
      <c r="A29" s="17" t="s">
        <v>87</v>
      </c>
      <c r="B29" s="17"/>
      <c r="C29" s="17"/>
      <c r="D29" s="17"/>
      <c r="E29" s="17"/>
      <c r="F29" s="17"/>
      <c r="G29" s="17"/>
      <c r="H29" s="17"/>
    </row>
    <row r="30" customFormat="false" ht="15" hidden="false" customHeight="true" outlineLevel="0" collapsed="false">
      <c r="A30" s="29" t="s">
        <v>88</v>
      </c>
      <c r="B30" s="30" t="n">
        <f aca="false">FV(B26,B27,-B24)</f>
        <v>220430.568735722</v>
      </c>
      <c r="C30" s="31" t="s">
        <v>89</v>
      </c>
      <c r="D30" s="31"/>
      <c r="E30" s="31"/>
      <c r="F30" s="31"/>
      <c r="G30" s="31"/>
      <c r="H30" s="31"/>
    </row>
    <row r="32" customFormat="false" ht="15" hidden="false" customHeight="true" outlineLevel="0" collapsed="false">
      <c r="A32" s="32" t="s">
        <v>90</v>
      </c>
      <c r="B32" s="32"/>
      <c r="C32" s="32"/>
      <c r="D32" s="32"/>
      <c r="E32" s="32"/>
      <c r="F32" s="32"/>
      <c r="G32" s="32"/>
      <c r="H32" s="32"/>
    </row>
    <row r="33" customFormat="false" ht="19.5" hidden="false" customHeight="true" outlineLevel="0" collapsed="false">
      <c r="A33" s="33" t="s">
        <v>91</v>
      </c>
      <c r="B33" s="33"/>
      <c r="C33" s="33"/>
      <c r="D33" s="33"/>
      <c r="E33" s="33"/>
      <c r="F33" s="33"/>
      <c r="G33" s="33"/>
      <c r="H33" s="33"/>
    </row>
    <row r="34" customFormat="false" ht="19.5" hidden="false" customHeight="true" outlineLevel="0" collapsed="false">
      <c r="A34" s="34" t="s">
        <v>92</v>
      </c>
      <c r="B34" s="34"/>
      <c r="C34" s="34"/>
      <c r="D34" s="34"/>
      <c r="E34" s="34"/>
      <c r="F34" s="34"/>
      <c r="G34" s="34"/>
      <c r="H34" s="34"/>
    </row>
    <row r="35" customFormat="false" ht="19.5" hidden="false" customHeight="true" outlineLevel="0" collapsed="false">
      <c r="A35" s="33" t="s">
        <v>93</v>
      </c>
      <c r="B35" s="33"/>
      <c r="C35" s="33"/>
      <c r="D35" s="33"/>
      <c r="E35" s="33"/>
      <c r="F35" s="33"/>
      <c r="G35" s="33"/>
      <c r="H35" s="33"/>
    </row>
    <row r="36" customFormat="false" ht="19.5" hidden="false" customHeight="true" outlineLevel="0" collapsed="false">
      <c r="A36" s="34" t="s">
        <v>94</v>
      </c>
      <c r="B36" s="34"/>
      <c r="C36" s="34"/>
      <c r="D36" s="34"/>
      <c r="E36" s="34"/>
      <c r="F36" s="34"/>
      <c r="G36" s="34"/>
      <c r="H36" s="34"/>
    </row>
  </sheetData>
  <mergeCells count="30">
    <mergeCell ref="A1:H1"/>
    <mergeCell ref="A2:H2"/>
    <mergeCell ref="A4:H4"/>
    <mergeCell ref="D5:H5"/>
    <mergeCell ref="C6:H6"/>
    <mergeCell ref="C7:H7"/>
    <mergeCell ref="C8:H8"/>
    <mergeCell ref="C9:H9"/>
    <mergeCell ref="C10:H10"/>
    <mergeCell ref="A11:H11"/>
    <mergeCell ref="C12:H12"/>
    <mergeCell ref="A14:H14"/>
    <mergeCell ref="C15:H15"/>
    <mergeCell ref="C16:H16"/>
    <mergeCell ref="C17:H17"/>
    <mergeCell ref="C18:H18"/>
    <mergeCell ref="A20:H20"/>
    <mergeCell ref="C21:H21"/>
    <mergeCell ref="A23:H23"/>
    <mergeCell ref="C24:H24"/>
    <mergeCell ref="C25:H25"/>
    <mergeCell ref="C26:H26"/>
    <mergeCell ref="C27:H27"/>
    <mergeCell ref="A29:H29"/>
    <mergeCell ref="C30:H30"/>
    <mergeCell ref="A32:H32"/>
    <mergeCell ref="A33:H33"/>
    <mergeCell ref="A34:H34"/>
    <mergeCell ref="A35:H35"/>
    <mergeCell ref="A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8"/>
    <col collapsed="false" customWidth="true" hidden="false" outlineLevel="0" max="3" min="3" style="1" width="32"/>
    <col collapsed="false" customWidth="true" hidden="false" outlineLevel="0" max="4" min="4" style="1" width="38"/>
    <col collapsed="false" customWidth="true" hidden="false" outlineLevel="0" max="5" min="5" style="1" width="22"/>
  </cols>
  <sheetData>
    <row r="1" customFormat="false" ht="30" hidden="false" customHeight="true" outlineLevel="0" collapsed="false">
      <c r="A1" s="35" t="s">
        <v>95</v>
      </c>
      <c r="B1" s="35"/>
      <c r="C1" s="35"/>
      <c r="D1" s="35"/>
      <c r="E1" s="35"/>
      <c r="F1" s="35"/>
    </row>
    <row r="3" customFormat="false" ht="23.25" hidden="false" customHeight="true" outlineLevel="0" collapsed="false">
      <c r="A3" s="36" t="s">
        <v>96</v>
      </c>
      <c r="B3" s="36" t="s">
        <v>97</v>
      </c>
      <c r="C3" s="36" t="s">
        <v>98</v>
      </c>
      <c r="D3" s="36" t="s">
        <v>99</v>
      </c>
      <c r="E3" s="36" t="s">
        <v>100</v>
      </c>
    </row>
    <row r="4" customFormat="false" ht="39.75" hidden="false" customHeight="true" outlineLevel="0" collapsed="false">
      <c r="A4" s="37" t="s">
        <v>101</v>
      </c>
      <c r="B4" s="38" t="s">
        <v>102</v>
      </c>
      <c r="C4" s="38" t="s">
        <v>103</v>
      </c>
      <c r="D4" s="38" t="s">
        <v>104</v>
      </c>
      <c r="E4" s="38" t="s">
        <v>105</v>
      </c>
    </row>
    <row r="5" customFormat="false" ht="39.75" hidden="false" customHeight="true" outlineLevel="0" collapsed="false">
      <c r="A5" s="39" t="s">
        <v>106</v>
      </c>
      <c r="B5" s="40" t="s">
        <v>107</v>
      </c>
      <c r="C5" s="40" t="s">
        <v>108</v>
      </c>
      <c r="D5" s="40" t="s">
        <v>109</v>
      </c>
      <c r="E5" s="40" t="s">
        <v>110</v>
      </c>
    </row>
    <row r="6" customFormat="false" ht="39.75" hidden="false" customHeight="true" outlineLevel="0" collapsed="false">
      <c r="A6" s="37" t="s">
        <v>111</v>
      </c>
      <c r="B6" s="38" t="s">
        <v>112</v>
      </c>
      <c r="C6" s="38" t="s">
        <v>113</v>
      </c>
      <c r="D6" s="38" t="s">
        <v>114</v>
      </c>
      <c r="E6" s="38" t="s">
        <v>115</v>
      </c>
    </row>
    <row r="7" customFormat="false" ht="39.75" hidden="false" customHeight="true" outlineLevel="0" collapsed="false">
      <c r="A7" s="39" t="s">
        <v>116</v>
      </c>
      <c r="B7" s="40" t="s">
        <v>117</v>
      </c>
      <c r="C7" s="40" t="s">
        <v>118</v>
      </c>
      <c r="D7" s="40" t="s">
        <v>119</v>
      </c>
      <c r="E7" s="40" t="s">
        <v>120</v>
      </c>
    </row>
    <row r="8" customFormat="false" ht="39.75" hidden="false" customHeight="true" outlineLevel="0" collapsed="false">
      <c r="A8" s="37" t="s">
        <v>121</v>
      </c>
      <c r="B8" s="38" t="s">
        <v>122</v>
      </c>
      <c r="C8" s="38" t="s">
        <v>123</v>
      </c>
      <c r="D8" s="38" t="s">
        <v>124</v>
      </c>
      <c r="E8" s="38" t="s">
        <v>125</v>
      </c>
    </row>
    <row r="10" customFormat="false" ht="15" hidden="false" customHeight="true" outlineLevel="0" collapsed="false">
      <c r="A10" s="41" t="s">
        <v>126</v>
      </c>
      <c r="B10" s="41"/>
      <c r="C10" s="41"/>
      <c r="D10" s="41"/>
      <c r="E10" s="41"/>
      <c r="F10" s="41"/>
    </row>
    <row r="11" customFormat="false" ht="19.5" hidden="false" customHeight="true" outlineLevel="0" collapsed="false">
      <c r="A11" s="42" t="s">
        <v>127</v>
      </c>
      <c r="B11" s="42"/>
      <c r="C11" s="42"/>
      <c r="D11" s="42"/>
      <c r="E11" s="42"/>
      <c r="F11" s="42"/>
    </row>
    <row r="12" customFormat="false" ht="19.5" hidden="false" customHeight="true" outlineLevel="0" collapsed="false">
      <c r="A12" s="43" t="s">
        <v>128</v>
      </c>
      <c r="B12" s="43"/>
      <c r="C12" s="43"/>
      <c r="D12" s="43"/>
      <c r="E12" s="43"/>
      <c r="F12" s="43"/>
    </row>
    <row r="13" customFormat="false" ht="19.5" hidden="false" customHeight="true" outlineLevel="0" collapsed="false">
      <c r="A13" s="42" t="s">
        <v>129</v>
      </c>
      <c r="B13" s="42"/>
      <c r="C13" s="42"/>
      <c r="D13" s="42"/>
      <c r="E13" s="42"/>
      <c r="F13" s="42"/>
    </row>
    <row r="14" customFormat="false" ht="19.5" hidden="false" customHeight="true" outlineLevel="0" collapsed="false">
      <c r="A14" s="43" t="s">
        <v>130</v>
      </c>
      <c r="B14" s="43"/>
      <c r="C14" s="43"/>
      <c r="D14" s="43"/>
      <c r="E14" s="43"/>
      <c r="F14" s="43"/>
    </row>
    <row r="15" customFormat="false" ht="19.5" hidden="false" customHeight="true" outlineLevel="0" collapsed="false">
      <c r="A15" s="42" t="s">
        <v>131</v>
      </c>
      <c r="B15" s="42"/>
      <c r="C15" s="42"/>
      <c r="D15" s="42"/>
      <c r="E15" s="42"/>
      <c r="F15" s="42"/>
    </row>
  </sheetData>
  <mergeCells count="7">
    <mergeCell ref="A1:F1"/>
    <mergeCell ref="A10:F10"/>
    <mergeCell ref="A11:F11"/>
    <mergeCell ref="A12:F12"/>
    <mergeCell ref="A13:F13"/>
    <mergeCell ref="A14:F14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2026-06-01T03:50:59Z</dcterms:created>
  <dc:creator>openpyxl</dc:creator>
  <dc:description/>
  <dc:language>en-US</dc:language>
  <cp:lastModifiedBy/>
  <dcterms:modified xsi:type="dcterms:W3CDTF">2026-06-01T03:52:11Z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