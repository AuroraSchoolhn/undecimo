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bin\Dropbox\ABS\ABS Planificacion\11vo\Segundo Parcial\"/>
    </mc:Choice>
  </mc:AlternateContent>
  <xr:revisionPtr revIDLastSave="0" documentId="13_ncr:1_{9CECAAFD-0AD4-469D-B4A9-EEC43B4DA46E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📋 Introducción" sheetId="1" r:id="rId1"/>
    <sheet name="🏦 Ejercicio 1" sheetId="2" r:id="rId2"/>
    <sheet name="🏠 Ejercicio 2" sheetId="3" r:id="rId3"/>
    <sheet name="📈 Ejercicio 3" sheetId="4" r:id="rId4"/>
    <sheet name="✅ Solucion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4" l="1"/>
  <c r="C23" i="4" s="1"/>
  <c r="C18" i="4"/>
  <c r="C17" i="4"/>
  <c r="C12" i="4"/>
  <c r="C22" i="4" s="1"/>
  <c r="C24" i="4" s="1"/>
  <c r="C11" i="4"/>
  <c r="C12" i="3"/>
  <c r="C16" i="3" s="1"/>
  <c r="C11" i="3"/>
  <c r="C15" i="3" s="1"/>
  <c r="C13" i="2"/>
  <c r="C16" i="2" s="1"/>
  <c r="C12" i="2"/>
  <c r="C17" i="3" l="1"/>
</calcChain>
</file>

<file path=xl/sharedStrings.xml><?xml version="1.0" encoding="utf-8"?>
<sst xmlns="http://schemas.openxmlformats.org/spreadsheetml/2006/main" count="126" uniqueCount="120">
  <si>
    <t>EJERCICIO FINANCIERO: VALOR ACTUAL (VA) Y VALOR FUTURO (VF)</t>
  </si>
  <si>
    <t>OBJETIVO DEL EJERCICIO</t>
  </si>
  <si>
    <t>Practicar el uso de las fórmulas VA() y VF() de Excel para resolver</t>
  </si>
  <si>
    <t>problemas reales de matemáticas financieras: ahorro, préstamos e</t>
  </si>
  <si>
    <t>inversiones.</t>
  </si>
  <si>
    <t>CONCEPTOS CLAVE</t>
  </si>
  <si>
    <t>• VA (Valor Actual / PV): ¿Cuánto vale HOY un flujo de dinero futuro?</t>
  </si>
  <si>
    <t xml:space="preserve">  Sintaxis: =VA(tasa; nper; pago; [vf]; [tipo])</t>
  </si>
  <si>
    <t>• VF (Valor Futuro / FV): ¿Cuánto valdrá una inversión en el FUTURO?</t>
  </si>
  <si>
    <t xml:space="preserve">  Sintaxis: =VF(tasa; nper; pago; [va]; [tipo])</t>
  </si>
  <si>
    <t>PARÁMETROS COMUNES</t>
  </si>
  <si>
    <t xml:space="preserve">  tasa  → Tasa de interés por período</t>
  </si>
  <si>
    <t xml:space="preserve">  nper  → Número total de períodos</t>
  </si>
  <si>
    <t xml:space="preserve">  pago  → Pago periódico constante (0 si no hay pagos regulares)</t>
  </si>
  <si>
    <t xml:space="preserve">  va    → Valor actual (capital inicial)</t>
  </si>
  <si>
    <t xml:space="preserve">  vf    → Valor futuro (meta de ahorro)</t>
  </si>
  <si>
    <t xml:space="preserve">  tipo  → 0 = pago al final del período; 1 = al inicio</t>
  </si>
  <si>
    <t>HOJAS DE ESTE LIBRO</t>
  </si>
  <si>
    <t xml:space="preserve">  🏦 Ejercicio 1  – Ahorro: Plan de ahorro personal (VF)</t>
  </si>
  <si>
    <t xml:space="preserve">  🏠 Ejercicio 2  – Préstamo: Valor actual de una hipoteca (VA)</t>
  </si>
  <si>
    <t xml:space="preserve">  📈 Ejercicio 3  – Inversión: Comparar dos opciones (VA vs VF)</t>
  </si>
  <si>
    <t xml:space="preserve">  ✅ Soluciones   – Respuestas y explicaciones</t>
  </si>
  <si>
    <t>CÓDIGO DE COLORES</t>
  </si>
  <si>
    <t xml:space="preserve">  Texto en AZUL  → Datos de entrada (puedes cambiarlos)</t>
  </si>
  <si>
    <t xml:space="preserve">  Fondo CELESTE  → Celda de entrada</t>
  </si>
  <si>
    <t xml:space="preserve">  Texto en NEGRO → Fórmula calculada por Excel</t>
  </si>
  <si>
    <t xml:space="preserve">  Fondo AZUL MEDIO → Celda de resultado</t>
  </si>
  <si>
    <t>EJERCICIO 1 – PLAN DE AHORRO PERSONAL (VF)</t>
  </si>
  <si>
    <t>📌 ENUNCIADO: María quiere ahorrar para un viaje. Depositará $200 cada mes durante 3 años en una cuenta que paga 6% anual. Además, deposita hoy $1,000 como capital inicial. ¿Cuánto tendrá al final?</t>
  </si>
  <si>
    <t>A) DATOS DE ENTRADA (celdas en azul — puedes modificarlas)</t>
  </si>
  <si>
    <t>Depósito mensual (pago)</t>
  </si>
  <si>
    <t>Capital inicial (va)</t>
  </si>
  <si>
    <t>Tasa de interés anual</t>
  </si>
  <si>
    <t>Años de ahorro</t>
  </si>
  <si>
    <t>B) CÁLCULOS INTERMEDIOS</t>
  </si>
  <si>
    <t>Tasa mensual (tasa anual ÷ 12)</t>
  </si>
  <si>
    <t>6% ÷ 12 = 0.500%</t>
  </si>
  <si>
    <t>Número de períodos (años × 12)</t>
  </si>
  <si>
    <t>3 × 12 = 36 meses</t>
  </si>
  <si>
    <t>C) RESULTADO CON LA FÓRMULA VF()</t>
  </si>
  <si>
    <t>Valor Futuro acumulado</t>
  </si>
  <si>
    <t>← ¡Este es el ahorro total al cabo de 3 años!</t>
  </si>
  <si>
    <t>💡 NOTA: Los pagos y el capital inicial se escriben NEGATIVOS en la fórmula porque representan salidas de dinero. El resultado positivo es lo que recibirás.</t>
  </si>
  <si>
    <t>D) PREGUNTA DE REFLEXIÓN</t>
  </si>
  <si>
    <t>🤔 ¿Qué pasaría si la tasa fuera 8% anual en lugar de 6%? Cambia la celda C8 y observa cómo cambia el resultado.</t>
  </si>
  <si>
    <t>EJERCICIO 2 – VALOR ACTUAL DE UNA HIPOTECA (VA)</t>
  </si>
  <si>
    <t>📌 ENUNCIADO: Un banco ofrece un préstamo hipotecario con cuotas mensuales de $1,500 durante 20 años a una tasa del 9% anual. ¿Cuánto dinero puedes pedir prestado hoy?</t>
  </si>
  <si>
    <t>A) DATOS DE ENTRADA</t>
  </si>
  <si>
    <t>Cuota mensual (pago)</t>
  </si>
  <si>
    <t>Años del préstamo</t>
  </si>
  <si>
    <t>Tasa mensual</t>
  </si>
  <si>
    <t>9% ÷ 12 = 0.750%</t>
  </si>
  <si>
    <t>Número de períodos</t>
  </si>
  <si>
    <t>20 × 12 = 240 meses</t>
  </si>
  <si>
    <t>C) RESULTADO CON LA FÓRMULA VA()</t>
  </si>
  <si>
    <t>Monto máximo del préstamo</t>
  </si>
  <si>
    <t>← Capital que puedes solicitar</t>
  </si>
  <si>
    <t>Total pagado al banco</t>
  </si>
  <si>
    <t>Total de intereses pagados</t>
  </si>
  <si>
    <t>🤔 Compara el total de intereses con el capital prestado. ¿Cuántas veces terminas pagando el valor original del préstamo?</t>
  </si>
  <si>
    <t>EJERCICIO 3 – COMPARAR DOS OPCIONES DE INVERSIÓN (VA vs VF)</t>
  </si>
  <si>
    <t>📌 ENUNCIADO: Tienes $10,000 para invertir. OPCIÓN A: banco que paga 5% anual por 5 años (capitalización anual). OPCIÓN B: fondo que paga $180/mes por 5 años a 4.8% anual. ¿Cuál opción genera más dinero? Usa VF para la opción A y VA para comparar con la opción B.</t>
  </si>
  <si>
    <t>A) DATOS COMUNES</t>
  </si>
  <si>
    <t>Capital disponible</t>
  </si>
  <si>
    <t>Años de inversión</t>
  </si>
  <si>
    <t>B) OPCIÓN A – Depósito bancario (sin pagos periódicos)</t>
  </si>
  <si>
    <t>Tasa anual opción A</t>
  </si>
  <si>
    <t>Períodos (anual)</t>
  </si>
  <si>
    <t>VF opción A (=VF)</t>
  </si>
  <si>
    <t>C) OPCIÓN B – Fondo con pagos mensuales</t>
  </si>
  <si>
    <t>Tasa anual opción B</t>
  </si>
  <si>
    <t>Pago mensual recibido</t>
  </si>
  <si>
    <t>Períodos (mensual)</t>
  </si>
  <si>
    <t>VA de los pagos (=VA)</t>
  </si>
  <si>
    <t>Valor hoy de todos los pagos futuros</t>
  </si>
  <si>
    <t>D) COMPARACIÓN FINAL</t>
  </si>
  <si>
    <t>Ganancia neta Opción A</t>
  </si>
  <si>
    <t>Ganancia neta Opción B</t>
  </si>
  <si>
    <t>¿Cuál es mejor?</t>
  </si>
  <si>
    <t>🤔 ¿Cambiaría tu decisión si la tasa de la opción A fuera 7%? ¿Y si el pago mensual de B fuera $220?</t>
  </si>
  <si>
    <t>SOLUCIONES Y EXPLICACIONES</t>
  </si>
  <si>
    <t>EJERCICIO 1 – Ahorro (VF)</t>
  </si>
  <si>
    <t>Fórmula usada:</t>
  </si>
  <si>
    <t>FV(C12,C13,-C6,-C7,0)</t>
  </si>
  <si>
    <t>Resultado esperado:</t>
  </si>
  <si>
    <t>≈ $9,417.86</t>
  </si>
  <si>
    <t>Con los datos base (200/mes, 6% anual, 3 años, $1,000 inicial)</t>
  </si>
  <si>
    <t>Explicación:</t>
  </si>
  <si>
    <t>Excel suma el crecimiento del capital inicial más los depósitos periódicos compuestos mensualmente.</t>
  </si>
  <si>
    <t>EJERCICIO 2 – Hipoteca (VA)</t>
  </si>
  <si>
    <t>PV(C11,C12,-C6,0,0)</t>
  </si>
  <si>
    <t>≈ $166,801.57</t>
  </si>
  <si>
    <t>Con datos base ($1,500/mes, 9% anual, 20 años)</t>
  </si>
  <si>
    <t>Total pagado:</t>
  </si>
  <si>
    <t>≈ $360,000</t>
  </si>
  <si>
    <t>$1,500 × 240 meses</t>
  </si>
  <si>
    <t>Total intereses:</t>
  </si>
  <si>
    <t>≈ $193,198</t>
  </si>
  <si>
    <t>Total pagado − Capital prestado</t>
  </si>
  <si>
    <t>EJERCICIO 3 – Comparar inversiones</t>
  </si>
  <si>
    <t>Opción A (VF con $10,000 al 5%):</t>
  </si>
  <si>
    <t>≈ $12,762.82</t>
  </si>
  <si>
    <t>Ganancia neta ≈ $2,763</t>
  </si>
  <si>
    <t>Opción B (VA de $180/mes al 4.8%):</t>
  </si>
  <si>
    <t>≈ $9,470.59</t>
  </si>
  <si>
    <t>Valor actual &lt; $10,000 invertidos</t>
  </si>
  <si>
    <t>Conclusión:</t>
  </si>
  <si>
    <t>Opción A es mejor</t>
  </si>
  <si>
    <t>El depósito único al 5% supera al fondo mensual al 4.8% con estos datos.</t>
  </si>
  <si>
    <t>SINTAXIS DE REFERENCIA RÁPIDA</t>
  </si>
  <si>
    <t>VF(tasa; nper; pago; [va]; [tipo])  → Valor futuro</t>
  </si>
  <si>
    <t>Calcula cuánto tendrás en el futuro</t>
  </si>
  <si>
    <t>PV(tasa; nper; pago; [vf]; [tipo])  → Valor actual</t>
  </si>
  <si>
    <t>Calcula cuánto vale hoy un flujo futuro</t>
  </si>
  <si>
    <t>Signo negativo en pagos/va:</t>
  </si>
  <si>
    <t>Los pagos que HACES son negativos; los que RECIBES son positivos</t>
  </si>
  <si>
    <t>tipo = 0:</t>
  </si>
  <si>
    <t>Pago al final del período (más común)</t>
  </si>
  <si>
    <t>tipo = 1:</t>
  </si>
  <si>
    <t>Pago al inicio del período (renta anticipada)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</si>
</sst>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%"/>
    <numFmt numFmtId="166" formatCode="[$$-409]#,##0.00;[Red]\-[$$-409]#,##0.00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9"/>
      <color rgb="FF1F4E79"/>
      <name val="Arial"/>
      <charset val="1"/>
    </font>
    <font>
      <b/>
      <sz val="10"/>
      <name val="Arial"/>
      <charset val="1"/>
    </font>
    <font>
      <sz val="11"/>
      <color theme="0"/>
      <name val="Calibri"/>
      <family val="2"/>
      <charset val="1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DEEAF1"/>
      </patternFill>
    </fill>
    <fill>
      <patternFill patternType="solid">
        <fgColor rgb="FFD6E4F0"/>
        <bgColor rgb="FFDEEAF1"/>
      </patternFill>
    </fill>
    <fill>
      <patternFill patternType="solid">
        <fgColor rgb="FFA9D18E"/>
        <bgColor rgb="FFBFBFBF"/>
      </patternFill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0" borderId="2" xfId="0" applyFont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/>
    <xf numFmtId="10" fontId="4" fillId="4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 indent="1"/>
    </xf>
    <xf numFmtId="1" fontId="6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10" fillId="0" borderId="0" xfId="0" applyFont="1" applyAlignment="1"/>
    <xf numFmtId="0" fontId="11" fillId="2" borderId="0" xfId="0" applyFont="1" applyFill="1" applyBorder="1" applyAlignment="1">
      <alignment horizontal="center" vertical="center" wrapText="1"/>
    </xf>
    <xf numFmtId="0" fontId="10" fillId="0" borderId="0" xfId="0" applyFont="1"/>
    <xf numFmtId="0" fontId="12" fillId="7" borderId="0" xfId="0" applyFont="1" applyFill="1" applyBorder="1" applyAlignment="1">
      <alignment horizontal="center" vertical="center"/>
    </xf>
    <xf numFmtId="0" fontId="13" fillId="0" borderId="0" xfId="0" applyFont="1" applyAlignment="1">
      <alignment vertical="center" indent="1"/>
    </xf>
    <xf numFmtId="166" fontId="14" fillId="0" borderId="0" xfId="0" applyNumberFormat="1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14" fillId="0" borderId="0" xfId="0" applyFont="1" applyBorder="1" applyAlignment="1">
      <alignment vertical="center" wrapText="1" indent="1"/>
    </xf>
    <xf numFmtId="0" fontId="14" fillId="0" borderId="0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opLeftCell="A4" zoomScaleNormal="100" workbookViewId="0"/>
  </sheetViews>
  <sheetFormatPr defaultColWidth="8.7109375" defaultRowHeight="15" x14ac:dyDescent="0.25"/>
  <cols>
    <col min="1" max="1" width="5" style="6" customWidth="1"/>
    <col min="2" max="2" width="60" style="6" customWidth="1"/>
    <col min="3" max="3" width="40" style="6" customWidth="1"/>
  </cols>
  <sheetData>
    <row r="1" spans="2:3" ht="49.5" customHeight="1" x14ac:dyDescent="0.25">
      <c r="B1" s="5" t="s">
        <v>0</v>
      </c>
      <c r="C1" s="5"/>
    </row>
    <row r="2" spans="2:3" ht="15" customHeight="1" x14ac:dyDescent="0.25"/>
    <row r="3" spans="2:3" ht="15" customHeight="1" x14ac:dyDescent="0.25">
      <c r="B3" s="7" t="s">
        <v>1</v>
      </c>
    </row>
    <row r="4" spans="2:3" ht="15" customHeight="1" x14ac:dyDescent="0.25">
      <c r="B4" s="8" t="s">
        <v>2</v>
      </c>
    </row>
    <row r="5" spans="2:3" ht="15" customHeight="1" x14ac:dyDescent="0.25">
      <c r="B5" s="8" t="s">
        <v>3</v>
      </c>
    </row>
    <row r="6" spans="2:3" ht="15" customHeight="1" x14ac:dyDescent="0.25">
      <c r="B6" s="8" t="s">
        <v>4</v>
      </c>
    </row>
    <row r="8" spans="2:3" ht="15" customHeight="1" x14ac:dyDescent="0.25">
      <c r="B8" s="7" t="s">
        <v>5</v>
      </c>
    </row>
    <row r="9" spans="2:3" ht="15" customHeight="1" x14ac:dyDescent="0.25">
      <c r="B9" s="8" t="s">
        <v>6</v>
      </c>
    </row>
    <row r="10" spans="2:3" ht="15" customHeight="1" x14ac:dyDescent="0.25">
      <c r="B10" s="9" t="s">
        <v>7</v>
      </c>
    </row>
    <row r="11" spans="2:3" ht="15" customHeight="1" x14ac:dyDescent="0.25">
      <c r="B11" s="8" t="s">
        <v>8</v>
      </c>
    </row>
    <row r="12" spans="2:3" ht="15" customHeight="1" x14ac:dyDescent="0.25">
      <c r="B12" s="9" t="s">
        <v>9</v>
      </c>
    </row>
    <row r="14" spans="2:3" ht="15" customHeight="1" x14ac:dyDescent="0.25">
      <c r="B14" s="7" t="s">
        <v>10</v>
      </c>
    </row>
    <row r="15" spans="2:3" ht="15" customHeight="1" x14ac:dyDescent="0.25">
      <c r="B15" s="8" t="s">
        <v>11</v>
      </c>
    </row>
    <row r="16" spans="2:3" ht="15" customHeight="1" x14ac:dyDescent="0.25">
      <c r="B16" s="8" t="s">
        <v>12</v>
      </c>
    </row>
    <row r="17" spans="2:2" ht="15" customHeight="1" x14ac:dyDescent="0.25">
      <c r="B17" s="8" t="s">
        <v>13</v>
      </c>
    </row>
    <row r="18" spans="2:2" ht="15" customHeight="1" x14ac:dyDescent="0.25">
      <c r="B18" s="8" t="s">
        <v>14</v>
      </c>
    </row>
    <row r="19" spans="2:2" ht="15" customHeight="1" x14ac:dyDescent="0.25">
      <c r="B19" s="8" t="s">
        <v>15</v>
      </c>
    </row>
    <row r="20" spans="2:2" ht="15" customHeight="1" x14ac:dyDescent="0.25">
      <c r="B20" s="8" t="s">
        <v>16</v>
      </c>
    </row>
    <row r="22" spans="2:2" ht="15" customHeight="1" x14ac:dyDescent="0.25">
      <c r="B22" s="7" t="s">
        <v>17</v>
      </c>
    </row>
    <row r="23" spans="2:2" ht="15" customHeight="1" x14ac:dyDescent="0.25">
      <c r="B23" s="8" t="s">
        <v>18</v>
      </c>
    </row>
    <row r="24" spans="2:2" ht="15" customHeight="1" x14ac:dyDescent="0.25">
      <c r="B24" s="8" t="s">
        <v>19</v>
      </c>
    </row>
    <row r="25" spans="2:2" ht="15" customHeight="1" x14ac:dyDescent="0.25">
      <c r="B25" s="8" t="s">
        <v>20</v>
      </c>
    </row>
    <row r="26" spans="2:2" ht="15" customHeight="1" x14ac:dyDescent="0.25">
      <c r="B26" s="8" t="s">
        <v>21</v>
      </c>
    </row>
    <row r="28" spans="2:2" ht="15" customHeight="1" x14ac:dyDescent="0.25">
      <c r="B28" s="7" t="s">
        <v>22</v>
      </c>
    </row>
    <row r="29" spans="2:2" ht="15" customHeight="1" x14ac:dyDescent="0.25">
      <c r="B29" s="9" t="s">
        <v>23</v>
      </c>
    </row>
    <row r="30" spans="2:2" ht="15" customHeight="1" x14ac:dyDescent="0.25">
      <c r="B30" s="8" t="s">
        <v>24</v>
      </c>
    </row>
    <row r="31" spans="2:2" ht="15" customHeight="1" x14ac:dyDescent="0.25">
      <c r="B31" s="8" t="s">
        <v>25</v>
      </c>
    </row>
    <row r="32" spans="2:2" ht="15" customHeight="1" x14ac:dyDescent="0.25">
      <c r="B32" s="8" t="s">
        <v>26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D9" sqref="D9"/>
    </sheetView>
  </sheetViews>
  <sheetFormatPr defaultColWidth="8.7109375" defaultRowHeight="15" x14ac:dyDescent="0.25"/>
  <cols>
    <col min="1" max="1" width="3" style="6" customWidth="1"/>
    <col min="2" max="2" width="38" style="6" customWidth="1"/>
    <col min="3" max="4" width="18" style="6" customWidth="1"/>
    <col min="5" max="5" width="30" style="6" customWidth="1"/>
  </cols>
  <sheetData>
    <row r="1" spans="2:5" ht="45" customHeight="1" x14ac:dyDescent="0.25">
      <c r="B1" s="5" t="s">
        <v>27</v>
      </c>
      <c r="C1" s="5"/>
      <c r="D1" s="5"/>
      <c r="E1" s="5"/>
    </row>
    <row r="2" spans="2:5" ht="12" customHeight="1" x14ac:dyDescent="0.25"/>
    <row r="3" spans="2:5" ht="30" customHeight="1" x14ac:dyDescent="0.25">
      <c r="B3" s="4" t="s">
        <v>28</v>
      </c>
      <c r="C3" s="4"/>
      <c r="D3" s="4"/>
      <c r="E3" s="4"/>
    </row>
    <row r="4" spans="2:5" ht="12" customHeight="1" x14ac:dyDescent="0.25"/>
    <row r="5" spans="2:5" ht="12" customHeight="1" x14ac:dyDescent="0.25">
      <c r="B5" s="3" t="s">
        <v>29</v>
      </c>
      <c r="C5" s="3"/>
      <c r="D5" s="3"/>
      <c r="E5" s="3"/>
    </row>
    <row r="6" spans="2:5" ht="12" customHeight="1" x14ac:dyDescent="0.25">
      <c r="B6" s="10" t="s">
        <v>30</v>
      </c>
      <c r="C6" s="11">
        <v>200</v>
      </c>
      <c r="D6" s="12"/>
    </row>
    <row r="7" spans="2:5" ht="12" customHeight="1" x14ac:dyDescent="0.25">
      <c r="B7" s="10" t="s">
        <v>31</v>
      </c>
      <c r="C7" s="11">
        <v>1000</v>
      </c>
      <c r="D7" s="12"/>
    </row>
    <row r="8" spans="2:5" ht="12" customHeight="1" x14ac:dyDescent="0.25">
      <c r="B8" s="10" t="s">
        <v>32</v>
      </c>
      <c r="C8" s="13">
        <v>0.06</v>
      </c>
      <c r="D8" s="12"/>
    </row>
    <row r="9" spans="2:5" ht="12" customHeight="1" x14ac:dyDescent="0.25">
      <c r="B9" s="10" t="s">
        <v>33</v>
      </c>
      <c r="C9" s="14">
        <v>3</v>
      </c>
      <c r="D9" s="12"/>
    </row>
    <row r="10" spans="2:5" ht="12" customHeight="1" x14ac:dyDescent="0.25">
      <c r="B10" s="12"/>
      <c r="C10" s="12"/>
      <c r="D10" s="12"/>
    </row>
    <row r="11" spans="2:5" ht="12" customHeight="1" x14ac:dyDescent="0.25">
      <c r="B11" s="2" t="s">
        <v>34</v>
      </c>
      <c r="C11" s="2"/>
      <c r="D11" s="2"/>
      <c r="E11" s="2"/>
    </row>
    <row r="12" spans="2:5" ht="39.75" customHeight="1" x14ac:dyDescent="0.25">
      <c r="B12" s="10" t="s">
        <v>35</v>
      </c>
      <c r="C12" s="15">
        <f>C8/12</f>
        <v>5.0000000000000001E-3</v>
      </c>
      <c r="D12" s="16" t="s">
        <v>36</v>
      </c>
    </row>
    <row r="13" spans="2:5" ht="12" customHeight="1" x14ac:dyDescent="0.25">
      <c r="B13" s="10" t="s">
        <v>37</v>
      </c>
      <c r="C13" s="17">
        <f>C9*12</f>
        <v>36</v>
      </c>
      <c r="D13" s="16" t="s">
        <v>38</v>
      </c>
    </row>
    <row r="14" spans="2:5" ht="39.75" customHeight="1" x14ac:dyDescent="0.25">
      <c r="B14" s="12"/>
      <c r="C14" s="12"/>
      <c r="D14" s="12"/>
    </row>
    <row r="15" spans="2:5" ht="12" customHeight="1" x14ac:dyDescent="0.25">
      <c r="B15" s="2" t="s">
        <v>39</v>
      </c>
      <c r="C15" s="2"/>
      <c r="D15" s="2"/>
      <c r="E15" s="2"/>
    </row>
    <row r="16" spans="2:5" ht="12" customHeight="1" x14ac:dyDescent="0.25">
      <c r="B16" s="10" t="s">
        <v>40</v>
      </c>
      <c r="C16" s="18">
        <f>FV(C12,C13,-C6,-C7,0)</f>
        <v>9063.9015177599213</v>
      </c>
      <c r="D16" s="1" t="s">
        <v>41</v>
      </c>
      <c r="E16" s="1"/>
    </row>
    <row r="17" spans="2:5" ht="39.75" customHeight="1" x14ac:dyDescent="0.25"/>
    <row r="18" spans="2:5" ht="12" customHeight="1" x14ac:dyDescent="0.25">
      <c r="B18" s="4" t="s">
        <v>42</v>
      </c>
      <c r="C18" s="4"/>
      <c r="D18" s="4"/>
      <c r="E18" s="4"/>
    </row>
    <row r="20" spans="2:5" ht="12" customHeight="1" x14ac:dyDescent="0.25">
      <c r="B20" s="3" t="s">
        <v>43</v>
      </c>
      <c r="C20" s="3"/>
      <c r="D20" s="3"/>
      <c r="E20" s="3"/>
    </row>
    <row r="21" spans="2:5" ht="30" customHeight="1" x14ac:dyDescent="0.25">
      <c r="B21" s="4" t="s">
        <v>44</v>
      </c>
      <c r="C21" s="4"/>
      <c r="D21" s="4"/>
      <c r="E21" s="4"/>
    </row>
  </sheetData>
  <mergeCells count="9">
    <mergeCell ref="D16:E16"/>
    <mergeCell ref="B18:E18"/>
    <mergeCell ref="B20:E20"/>
    <mergeCell ref="B21:E21"/>
    <mergeCell ref="B1:E1"/>
    <mergeCell ref="B3:E3"/>
    <mergeCell ref="B5:E5"/>
    <mergeCell ref="B11:E11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/>
  </sheetViews>
  <sheetFormatPr defaultColWidth="8.7109375" defaultRowHeight="15" x14ac:dyDescent="0.25"/>
  <cols>
    <col min="1" max="1" width="3" style="6" customWidth="1"/>
    <col min="2" max="2" width="38" style="6" customWidth="1"/>
    <col min="3" max="4" width="18" style="6" customWidth="1"/>
    <col min="5" max="5" width="30" style="6" customWidth="1"/>
  </cols>
  <sheetData>
    <row r="1" spans="2:5" ht="45" customHeight="1" x14ac:dyDescent="0.25">
      <c r="B1" s="5" t="s">
        <v>45</v>
      </c>
      <c r="C1" s="5"/>
      <c r="D1" s="5"/>
      <c r="E1" s="5"/>
    </row>
    <row r="3" spans="2:5" ht="39.75" customHeight="1" x14ac:dyDescent="0.25">
      <c r="B3" s="4" t="s">
        <v>46</v>
      </c>
      <c r="C3" s="4"/>
      <c r="D3" s="4"/>
      <c r="E3" s="4"/>
    </row>
    <row r="5" spans="2:5" ht="12" customHeight="1" x14ac:dyDescent="0.25">
      <c r="B5" s="3" t="s">
        <v>47</v>
      </c>
      <c r="C5" s="3"/>
      <c r="D5" s="3"/>
      <c r="E5" s="3"/>
    </row>
    <row r="6" spans="2:5" ht="12" customHeight="1" x14ac:dyDescent="0.25">
      <c r="B6" s="10" t="s">
        <v>48</v>
      </c>
      <c r="C6" s="11">
        <v>1500</v>
      </c>
      <c r="D6" s="12"/>
    </row>
    <row r="7" spans="2:5" ht="12" customHeight="1" x14ac:dyDescent="0.25">
      <c r="B7" s="10" t="s">
        <v>32</v>
      </c>
      <c r="C7" s="13">
        <v>0.09</v>
      </c>
      <c r="D7" s="12"/>
    </row>
    <row r="8" spans="2:5" ht="12" customHeight="1" x14ac:dyDescent="0.25">
      <c r="B8" s="10" t="s">
        <v>49</v>
      </c>
      <c r="C8" s="14">
        <v>20</v>
      </c>
      <c r="D8" s="12"/>
    </row>
    <row r="9" spans="2:5" ht="12" customHeight="1" x14ac:dyDescent="0.25">
      <c r="B9" s="12"/>
      <c r="C9" s="12"/>
      <c r="D9" s="12"/>
    </row>
    <row r="10" spans="2:5" ht="15" customHeight="1" x14ac:dyDescent="0.25">
      <c r="B10" s="2" t="s">
        <v>34</v>
      </c>
      <c r="C10" s="2"/>
      <c r="D10" s="2"/>
      <c r="E10" s="2"/>
    </row>
    <row r="11" spans="2:5" ht="12" customHeight="1" x14ac:dyDescent="0.25">
      <c r="B11" s="10" t="s">
        <v>50</v>
      </c>
      <c r="C11" s="15">
        <f>C7/12</f>
        <v>7.4999999999999997E-3</v>
      </c>
      <c r="D11" s="16" t="s">
        <v>51</v>
      </c>
    </row>
    <row r="12" spans="2:5" ht="12" customHeight="1" x14ac:dyDescent="0.25">
      <c r="B12" s="10" t="s">
        <v>52</v>
      </c>
      <c r="C12" s="17">
        <f>C8*12</f>
        <v>240</v>
      </c>
      <c r="D12" s="16" t="s">
        <v>53</v>
      </c>
    </row>
    <row r="13" spans="2:5" ht="12" customHeight="1" x14ac:dyDescent="0.25">
      <c r="B13" s="12"/>
      <c r="C13" s="12"/>
      <c r="D13" s="12"/>
    </row>
    <row r="14" spans="2:5" ht="15" customHeight="1" x14ac:dyDescent="0.25">
      <c r="B14" s="2" t="s">
        <v>54</v>
      </c>
      <c r="C14" s="2"/>
      <c r="D14" s="2"/>
      <c r="E14" s="2"/>
    </row>
    <row r="15" spans="2:5" ht="12" customHeight="1" x14ac:dyDescent="0.25">
      <c r="B15" s="10" t="s">
        <v>55</v>
      </c>
      <c r="C15" s="18">
        <f>PV(C11,C12,-C6,0,0)</f>
        <v>166717.43104072387</v>
      </c>
      <c r="D15" s="1" t="s">
        <v>56</v>
      </c>
      <c r="E15" s="1"/>
    </row>
    <row r="16" spans="2:5" ht="12" customHeight="1" x14ac:dyDescent="0.25">
      <c r="B16" s="10" t="s">
        <v>57</v>
      </c>
      <c r="C16" s="19">
        <f>C6*C12</f>
        <v>360000</v>
      </c>
      <c r="D16" s="12"/>
    </row>
    <row r="17" spans="2:5" ht="12" customHeight="1" x14ac:dyDescent="0.25">
      <c r="B17" s="10" t="s">
        <v>58</v>
      </c>
      <c r="C17" s="19">
        <f>C16-ABS(C15)</f>
        <v>193282.56895927613</v>
      </c>
      <c r="D17" s="12"/>
    </row>
    <row r="18" spans="2:5" ht="30" customHeight="1" x14ac:dyDescent="0.25"/>
    <row r="19" spans="2:5" ht="12" customHeight="1" x14ac:dyDescent="0.25">
      <c r="B19" s="3" t="s">
        <v>43</v>
      </c>
      <c r="C19" s="3"/>
      <c r="D19" s="3"/>
      <c r="E19" s="3"/>
    </row>
    <row r="20" spans="2:5" ht="12" customHeight="1" x14ac:dyDescent="0.25">
      <c r="B20" s="4" t="s">
        <v>59</v>
      </c>
      <c r="C20" s="4"/>
      <c r="D20" s="4"/>
      <c r="E20" s="4"/>
    </row>
    <row r="21" spans="2:5" ht="30" customHeight="1" x14ac:dyDescent="0.25"/>
  </sheetData>
  <mergeCells count="8">
    <mergeCell ref="D15:E15"/>
    <mergeCell ref="B19:E19"/>
    <mergeCell ref="B20:E20"/>
    <mergeCell ref="B1:E1"/>
    <mergeCell ref="B3:E3"/>
    <mergeCell ref="B5:E5"/>
    <mergeCell ref="B10:E10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Normal="100" workbookViewId="0"/>
  </sheetViews>
  <sheetFormatPr defaultColWidth="8.7109375" defaultRowHeight="15" x14ac:dyDescent="0.25"/>
  <cols>
    <col min="1" max="1" width="3" style="6" customWidth="1"/>
    <col min="2" max="2" width="32" style="6" customWidth="1"/>
    <col min="3" max="5" width="18" style="6" customWidth="1"/>
    <col min="6" max="6" width="28" style="6" customWidth="1"/>
  </cols>
  <sheetData>
    <row r="1" spans="2:6" ht="45" customHeight="1" x14ac:dyDescent="0.25">
      <c r="B1" s="5" t="s">
        <v>60</v>
      </c>
      <c r="C1" s="5"/>
      <c r="D1" s="5"/>
      <c r="E1" s="5"/>
      <c r="F1" s="5"/>
    </row>
    <row r="3" spans="2:6" ht="49.5" customHeight="1" x14ac:dyDescent="0.25">
      <c r="B3" s="4" t="s">
        <v>61</v>
      </c>
      <c r="C3" s="4"/>
      <c r="D3" s="4"/>
      <c r="E3" s="4"/>
      <c r="F3" s="4"/>
    </row>
    <row r="5" spans="2:6" ht="12" customHeight="1" x14ac:dyDescent="0.25">
      <c r="B5" s="3" t="s">
        <v>62</v>
      </c>
      <c r="C5" s="3"/>
      <c r="D5" s="3"/>
      <c r="E5" s="3"/>
      <c r="F5" s="3"/>
    </row>
    <row r="6" spans="2:6" ht="12" customHeight="1" x14ac:dyDescent="0.25">
      <c r="B6" s="10" t="s">
        <v>63</v>
      </c>
      <c r="C6" s="11">
        <v>10000</v>
      </c>
      <c r="D6" s="12"/>
    </row>
    <row r="7" spans="2:6" ht="12" customHeight="1" x14ac:dyDescent="0.25">
      <c r="B7" s="10" t="s">
        <v>64</v>
      </c>
      <c r="C7" s="14">
        <v>5</v>
      </c>
      <c r="D7" s="12"/>
    </row>
    <row r="8" spans="2:6" ht="12" customHeight="1" x14ac:dyDescent="0.25">
      <c r="B8" s="12"/>
      <c r="C8" s="12"/>
      <c r="D8" s="12"/>
    </row>
    <row r="9" spans="2:6" ht="12" customHeight="1" x14ac:dyDescent="0.25">
      <c r="B9" s="2" t="s">
        <v>65</v>
      </c>
      <c r="C9" s="2"/>
      <c r="D9" s="2"/>
      <c r="E9" s="2"/>
      <c r="F9" s="2"/>
    </row>
    <row r="10" spans="2:6" ht="12" customHeight="1" x14ac:dyDescent="0.25">
      <c r="B10" s="10" t="s">
        <v>66</v>
      </c>
      <c r="C10" s="13">
        <v>0.05</v>
      </c>
      <c r="D10" s="12"/>
    </row>
    <row r="11" spans="2:6" ht="15" customHeight="1" x14ac:dyDescent="0.25">
      <c r="B11" s="10" t="s">
        <v>67</v>
      </c>
      <c r="C11" s="17">
        <f>C7</f>
        <v>5</v>
      </c>
      <c r="D11" s="12"/>
    </row>
    <row r="12" spans="2:6" ht="12" customHeight="1" x14ac:dyDescent="0.25">
      <c r="B12" s="10" t="s">
        <v>68</v>
      </c>
      <c r="C12" s="20">
        <f>FV(C10,C11,0,-C6,0)</f>
        <v>12762.815625000001</v>
      </c>
      <c r="D12" s="12"/>
    </row>
    <row r="13" spans="2:6" ht="12" customHeight="1" x14ac:dyDescent="0.25">
      <c r="B13" s="12"/>
      <c r="C13" s="12"/>
      <c r="D13" s="12"/>
    </row>
    <row r="14" spans="2:6" ht="12" customHeight="1" x14ac:dyDescent="0.25">
      <c r="B14" s="2" t="s">
        <v>69</v>
      </c>
      <c r="C14" s="2"/>
      <c r="D14" s="2"/>
      <c r="E14" s="2"/>
      <c r="F14" s="2"/>
    </row>
    <row r="15" spans="2:6" ht="12" customHeight="1" x14ac:dyDescent="0.25">
      <c r="B15" s="10" t="s">
        <v>70</v>
      </c>
      <c r="C15" s="13">
        <v>4.8000000000000001E-2</v>
      </c>
      <c r="D15" s="12"/>
    </row>
    <row r="16" spans="2:6" ht="12" customHeight="1" x14ac:dyDescent="0.25">
      <c r="B16" s="10" t="s">
        <v>71</v>
      </c>
      <c r="C16" s="11">
        <v>180</v>
      </c>
      <c r="D16" s="12"/>
    </row>
    <row r="17" spans="2:6" ht="12" customHeight="1" x14ac:dyDescent="0.25">
      <c r="B17" s="10" t="s">
        <v>50</v>
      </c>
      <c r="C17" s="15">
        <f>C15/12</f>
        <v>4.0000000000000001E-3</v>
      </c>
      <c r="D17" s="12"/>
    </row>
    <row r="18" spans="2:6" ht="15" customHeight="1" x14ac:dyDescent="0.25">
      <c r="B18" s="10" t="s">
        <v>72</v>
      </c>
      <c r="C18" s="17">
        <f>C7*12</f>
        <v>60</v>
      </c>
      <c r="D18" s="12"/>
    </row>
    <row r="19" spans="2:6" ht="12" customHeight="1" x14ac:dyDescent="0.25">
      <c r="B19" s="10" t="s">
        <v>73</v>
      </c>
      <c r="C19" s="19">
        <f>PV(C17,C18,-C16,0,0)</f>
        <v>9584.796207603782</v>
      </c>
      <c r="D19" s="16" t="s">
        <v>74</v>
      </c>
    </row>
    <row r="20" spans="2:6" ht="12" customHeight="1" x14ac:dyDescent="0.25">
      <c r="B20" s="12"/>
      <c r="C20" s="12"/>
      <c r="D20" s="12"/>
    </row>
    <row r="21" spans="2:6" ht="12" customHeight="1" x14ac:dyDescent="0.25">
      <c r="B21" s="2" t="s">
        <v>75</v>
      </c>
      <c r="C21" s="2"/>
      <c r="D21" s="2"/>
      <c r="E21" s="2"/>
      <c r="F21" s="2"/>
    </row>
    <row r="22" spans="2:6" ht="12" customHeight="1" x14ac:dyDescent="0.25">
      <c r="B22" s="10" t="s">
        <v>76</v>
      </c>
      <c r="C22" s="19">
        <f>C12-C6</f>
        <v>2762.8156250000011</v>
      </c>
      <c r="D22" s="12"/>
    </row>
    <row r="23" spans="2:6" ht="30" customHeight="1" x14ac:dyDescent="0.25">
      <c r="B23" s="10" t="s">
        <v>77</v>
      </c>
      <c r="C23" s="19">
        <f>C19-C6</f>
        <v>-415.20379239621798</v>
      </c>
      <c r="D23" s="12"/>
    </row>
    <row r="24" spans="2:6" ht="15" customHeight="1" x14ac:dyDescent="0.25">
      <c r="B24" s="10" t="s">
        <v>78</v>
      </c>
      <c r="C24" s="21" t="str">
        <f>IF(C22&gt;C23,"✅ Opción A","✅ Opción B")</f>
        <v>✅ Opción A</v>
      </c>
      <c r="D24" s="12"/>
    </row>
    <row r="25" spans="2:6" ht="12" customHeight="1" x14ac:dyDescent="0.25"/>
    <row r="26" spans="2:6" ht="30" customHeight="1" x14ac:dyDescent="0.25">
      <c r="B26" s="4" t="s">
        <v>79</v>
      </c>
      <c r="C26" s="4"/>
      <c r="D26" s="4"/>
      <c r="E26" s="4"/>
      <c r="F26" s="4"/>
    </row>
  </sheetData>
  <mergeCells count="7">
    <mergeCell ref="B21:F21"/>
    <mergeCell ref="B26:F26"/>
    <mergeCell ref="B1:F1"/>
    <mergeCell ref="B3:F3"/>
    <mergeCell ref="B5:F5"/>
    <mergeCell ref="B9:F9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tabSelected="1" zoomScaleNormal="100" workbookViewId="0">
      <selection activeCell="B11" sqref="B11"/>
    </sheetView>
  </sheetViews>
  <sheetFormatPr defaultColWidth="8.7109375" defaultRowHeight="15" x14ac:dyDescent="0.25"/>
  <cols>
    <col min="1" max="1" width="3" style="22" customWidth="1"/>
    <col min="2" max="2" width="42" style="22" customWidth="1"/>
    <col min="3" max="4" width="22" style="22" customWidth="1"/>
    <col min="5" max="5" width="25" style="22" customWidth="1"/>
    <col min="6" max="16384" width="8.7109375" style="24"/>
  </cols>
  <sheetData>
    <row r="1" spans="2:5" ht="45" customHeight="1" x14ac:dyDescent="0.25">
      <c r="B1" s="23" t="s">
        <v>80</v>
      </c>
      <c r="C1" s="23"/>
      <c r="D1" s="23"/>
      <c r="E1" s="23"/>
    </row>
    <row r="3" spans="2:5" ht="18" customHeight="1" x14ac:dyDescent="0.25">
      <c r="B3" s="25" t="s">
        <v>81</v>
      </c>
      <c r="C3" s="25"/>
      <c r="D3" s="25"/>
      <c r="E3" s="25"/>
    </row>
    <row r="4" spans="2:5" ht="21.75" customHeight="1" x14ac:dyDescent="0.25">
      <c r="B4" s="26" t="s">
        <v>82</v>
      </c>
      <c r="C4" s="27" t="s">
        <v>83</v>
      </c>
    </row>
    <row r="5" spans="2:5" ht="21.75" customHeight="1" x14ac:dyDescent="0.25">
      <c r="B5" s="26" t="s">
        <v>84</v>
      </c>
      <c r="C5" s="28" t="s">
        <v>85</v>
      </c>
      <c r="D5" s="29" t="s">
        <v>86</v>
      </c>
      <c r="E5" s="29"/>
    </row>
    <row r="6" spans="2:5" ht="21.75" customHeight="1" x14ac:dyDescent="0.25">
      <c r="B6" s="26" t="s">
        <v>87</v>
      </c>
      <c r="D6" s="29" t="s">
        <v>88</v>
      </c>
      <c r="E6" s="29"/>
    </row>
    <row r="8" spans="2:5" ht="18" customHeight="1" x14ac:dyDescent="0.25">
      <c r="B8" s="25" t="s">
        <v>89</v>
      </c>
      <c r="C8" s="25"/>
      <c r="D8" s="25"/>
      <c r="E8" s="25"/>
    </row>
    <row r="9" spans="2:5" ht="21.75" customHeight="1" x14ac:dyDescent="0.25">
      <c r="B9" s="26" t="s">
        <v>82</v>
      </c>
      <c r="C9" s="27" t="s">
        <v>90</v>
      </c>
    </row>
    <row r="10" spans="2:5" ht="21.75" customHeight="1" x14ac:dyDescent="0.25">
      <c r="B10" s="26" t="s">
        <v>84</v>
      </c>
      <c r="C10" s="28" t="s">
        <v>91</v>
      </c>
      <c r="D10" s="29" t="s">
        <v>92</v>
      </c>
      <c r="E10" s="29"/>
    </row>
    <row r="11" spans="2:5" ht="21.75" customHeight="1" x14ac:dyDescent="0.25">
      <c r="B11" s="26" t="s">
        <v>93</v>
      </c>
      <c r="C11" s="28" t="s">
        <v>94</v>
      </c>
      <c r="D11" s="30" t="s">
        <v>95</v>
      </c>
      <c r="E11" s="30"/>
    </row>
    <row r="12" spans="2:5" ht="21.75" customHeight="1" x14ac:dyDescent="0.25">
      <c r="B12" s="26" t="s">
        <v>96</v>
      </c>
      <c r="C12" s="28" t="s">
        <v>97</v>
      </c>
      <c r="D12" s="30" t="s">
        <v>98</v>
      </c>
      <c r="E12" s="30"/>
    </row>
    <row r="14" spans="2:5" ht="18" customHeight="1" x14ac:dyDescent="0.25">
      <c r="B14" s="25" t="s">
        <v>99</v>
      </c>
      <c r="C14" s="25"/>
      <c r="D14" s="25"/>
      <c r="E14" s="25"/>
    </row>
    <row r="15" spans="2:5" ht="21.75" customHeight="1" x14ac:dyDescent="0.25">
      <c r="B15" s="26" t="s">
        <v>100</v>
      </c>
      <c r="C15" s="28" t="s">
        <v>101</v>
      </c>
      <c r="D15" s="29" t="s">
        <v>102</v>
      </c>
      <c r="E15" s="29"/>
    </row>
    <row r="16" spans="2:5" ht="21.75" customHeight="1" x14ac:dyDescent="0.25">
      <c r="B16" s="26" t="s">
        <v>103</v>
      </c>
      <c r="C16" s="28" t="s">
        <v>104</v>
      </c>
      <c r="D16" s="29" t="s">
        <v>105</v>
      </c>
      <c r="E16" s="29"/>
    </row>
    <row r="17" spans="2:5" ht="21.75" customHeight="1" x14ac:dyDescent="0.25">
      <c r="B17" s="26" t="s">
        <v>106</v>
      </c>
      <c r="C17" s="28" t="s">
        <v>107</v>
      </c>
      <c r="D17" s="29" t="s">
        <v>108</v>
      </c>
      <c r="E17" s="29"/>
    </row>
    <row r="19" spans="2:5" ht="18" customHeight="1" x14ac:dyDescent="0.25">
      <c r="B19" s="25" t="s">
        <v>109</v>
      </c>
      <c r="C19" s="25"/>
      <c r="D19" s="25"/>
      <c r="E19" s="25"/>
    </row>
    <row r="20" spans="2:5" ht="21.75" customHeight="1" x14ac:dyDescent="0.25">
      <c r="B20" s="31" t="s">
        <v>110</v>
      </c>
      <c r="D20" s="29" t="s">
        <v>111</v>
      </c>
      <c r="E20" s="29"/>
    </row>
    <row r="21" spans="2:5" ht="21.75" customHeight="1" x14ac:dyDescent="0.25">
      <c r="B21" s="31" t="s">
        <v>112</v>
      </c>
      <c r="D21" s="29" t="s">
        <v>113</v>
      </c>
      <c r="E21" s="29"/>
    </row>
    <row r="22" spans="2:5" ht="21.75" customHeight="1" x14ac:dyDescent="0.25">
      <c r="B22" s="26" t="s">
        <v>114</v>
      </c>
      <c r="D22" s="29" t="s">
        <v>115</v>
      </c>
      <c r="E22" s="29"/>
    </row>
    <row r="23" spans="2:5" ht="21.75" customHeight="1" x14ac:dyDescent="0.25">
      <c r="B23" s="26" t="s">
        <v>116</v>
      </c>
      <c r="D23" s="29" t="s">
        <v>117</v>
      </c>
      <c r="E23" s="29"/>
    </row>
    <row r="24" spans="2:5" ht="21.75" customHeight="1" x14ac:dyDescent="0.25">
      <c r="B24" s="26" t="s">
        <v>118</v>
      </c>
      <c r="D24" s="29" t="s">
        <v>119</v>
      </c>
      <c r="E24" s="29"/>
    </row>
  </sheetData>
  <mergeCells count="18">
    <mergeCell ref="D22:E22"/>
    <mergeCell ref="D23:E23"/>
    <mergeCell ref="D24:E24"/>
    <mergeCell ref="D16:E16"/>
    <mergeCell ref="D17:E17"/>
    <mergeCell ref="B19:E19"/>
    <mergeCell ref="D20:E20"/>
    <mergeCell ref="D21:E21"/>
    <mergeCell ref="D10:E10"/>
    <mergeCell ref="D11:E11"/>
    <mergeCell ref="D12:E12"/>
    <mergeCell ref="B14:E14"/>
    <mergeCell ref="D15:E15"/>
    <mergeCell ref="B1:E1"/>
    <mergeCell ref="B3:E3"/>
    <mergeCell ref="D5:E5"/>
    <mergeCell ref="D6:E6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Introducción</vt:lpstr>
      <vt:lpstr>🏦 Ejercicio 1</vt:lpstr>
      <vt:lpstr>🏠 Ejercicio 2</vt:lpstr>
      <vt:lpstr>📈 Ejercicio 3</vt:lpstr>
      <vt:lpstr>✅ 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Laínez López, Edbin Rolando</cp:lastModifiedBy>
  <cp:revision>0</cp:revision>
  <dcterms:created xsi:type="dcterms:W3CDTF">2026-05-24T04:00:10Z</dcterms:created>
  <dcterms:modified xsi:type="dcterms:W3CDTF">2026-05-24T04:12:15Z</dcterms:modified>
  <dc:language>en-US</dc:language>
</cp:coreProperties>
</file>